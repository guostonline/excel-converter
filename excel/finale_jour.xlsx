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AGADIR"/>
    <sheet r:id="rId2" sheetId="2" name="QUALI NV"/>
    <sheet r:id="rId3" sheetId="3" name="QUALI"/>
    <sheet r:id="rId4" sheetId="4" name="VMM"/>
    <sheet r:id="rId5" sheetId="5" name="VMM CUMUL"/>
    <sheet r:id="rId6" sheetId="6" name="SOM"/>
    <sheet r:id="rId7" sheetId="7" name="SOM CUMUL"/>
    <sheet r:id="rId8" sheetId="8" name="SOM_quali"/>
    <sheet r:id="rId9" sheetId="9" name="VMM_quali"/>
  </sheets>
  <definedNames>
    <definedName name="_xlnm.Print_Titles" localSheetId="0">'AGADIR'!$1:$9</definedName>
    <definedName name="_xlnm.Print_Titles" localSheetId="1">'QUALI NV'!$1:$8</definedName>
    <definedName name="_xlnm.Print_Titles" localSheetId="3">'VMM'!$1:$7</definedName>
    <definedName name="_xlnm.Print_Titles" localSheetId="4">'VMM CUMUL'!$1:$7</definedName>
    <definedName name="_xlnm.Print_Titles" localSheetId="5">'SOM'!$1:$7</definedName>
    <definedName name="_xlnm.Print_Titles" localSheetId="6">'SOM CUMUL'!$1:$7</definedName>
    <definedName name="_xlnm.Print_Titles" localSheetId="7">'SOM_quali'!$1:$7</definedName>
    <definedName name="_xlnm.Print_Titles" localSheetId="8">'VMM_quali'!$1:$7</definedName>
  </definedNames>
  <calcPr fullCalcOnLoad="1"/>
</workbook>
</file>

<file path=xl/sharedStrings.xml><?xml version="1.0" encoding="utf-8"?>
<sst xmlns="http://schemas.openxmlformats.org/spreadsheetml/2006/main" count="2340" uniqueCount="190">
  <si>
    <t>MADEC</t>
  </si>
  <si>
    <t xml:space="preserve">VENTES EN CA HT DES PRODUITS 20/80 POUR LA STE VMM </t>
  </si>
  <si>
    <t>DIRECTION COMMERCIALE</t>
  </si>
  <si>
    <t>VINAIGRE</t>
  </si>
  <si>
    <t>CONFITURE</t>
  </si>
  <si>
    <t>MAYONNAISE</t>
  </si>
  <si>
    <t>MOUTARDE</t>
  </si>
  <si>
    <t>KETCH</t>
  </si>
  <si>
    <t>SAUCE PIQUANTE</t>
  </si>
  <si>
    <t>CNS</t>
  </si>
  <si>
    <t>AB37</t>
  </si>
  <si>
    <t>AB72</t>
  </si>
  <si>
    <t>FR37</t>
  </si>
  <si>
    <t>FR72</t>
  </si>
  <si>
    <t>CNF STAR</t>
  </si>
  <si>
    <t>T.B SQ</t>
  </si>
  <si>
    <t>Florsol</t>
  </si>
  <si>
    <t xml:space="preserve"> 1/10</t>
  </si>
  <si>
    <t>C.A</t>
  </si>
  <si>
    <t>AGENCE</t>
  </si>
  <si>
    <t>CDZ</t>
  </si>
  <si>
    <t>SECTEUR</t>
  </si>
  <si>
    <t>REPRESENTANT</t>
  </si>
  <si>
    <t>AN.</t>
  </si>
  <si>
    <t>T</t>
  </si>
  <si>
    <t>5021*</t>
  </si>
  <si>
    <t>5031*</t>
  </si>
  <si>
    <t>5032*</t>
  </si>
  <si>
    <t>5034*</t>
  </si>
  <si>
    <t xml:space="preserve">VENTES EN CA HT DES PRODUITS 20/80 POUR LA STE SOM </t>
  </si>
  <si>
    <t>LEVURE</t>
  </si>
  <si>
    <t>SUCRE VANILLE</t>
  </si>
  <si>
    <t>FLAN</t>
  </si>
  <si>
    <t>BOUILLON</t>
  </si>
  <si>
    <t>CHOCAO</t>
  </si>
  <si>
    <t>MOUSSE</t>
  </si>
  <si>
    <t>COLORANT</t>
  </si>
  <si>
    <t>CACAO</t>
  </si>
  <si>
    <t>BENTTYB</t>
  </si>
  <si>
    <t>Sup Cr.</t>
  </si>
  <si>
    <t>I 50</t>
  </si>
  <si>
    <t>J 50</t>
  </si>
  <si>
    <t>NS 24</t>
  </si>
  <si>
    <t>SUC</t>
  </si>
  <si>
    <t>4 L</t>
  </si>
  <si>
    <t>100G</t>
  </si>
  <si>
    <t>GLACES</t>
  </si>
  <si>
    <t>FUS</t>
  </si>
  <si>
    <t>88 GM</t>
  </si>
  <si>
    <t>40613*</t>
  </si>
  <si>
    <t>40510*</t>
  </si>
  <si>
    <t>409*02</t>
  </si>
  <si>
    <t>409*11</t>
  </si>
  <si>
    <t>FIN  OCT 2024/2025</t>
  </si>
  <si>
    <t>Péride Du : 01/02/2018 Au :03/02/2018</t>
  </si>
  <si>
    <t>409*20</t>
  </si>
  <si>
    <t>AGADIR</t>
  </si>
  <si>
    <t>AGADIR GROS VMM</t>
  </si>
  <si>
    <t>057 LAHBI HICHAM</t>
  </si>
  <si>
    <t>%</t>
  </si>
  <si>
    <t>%%</t>
  </si>
  <si>
    <t>AGADIR GROS SOM</t>
  </si>
  <si>
    <t>335 ZERROUKI JAMAL</t>
  </si>
  <si>
    <t>SAHARA GROS SOM VMM</t>
  </si>
  <si>
    <t>420 EL MANSOURI OMAR</t>
  </si>
  <si>
    <t>CPA COMPTOIR AGADIR</t>
  </si>
  <si>
    <t>9 054%</t>
  </si>
  <si>
    <t>6 157%</t>
  </si>
  <si>
    <t>4 045%</t>
  </si>
  <si>
    <t>2 127%</t>
  </si>
  <si>
    <t>22 924%</t>
  </si>
  <si>
    <t>35 295%</t>
  </si>
  <si>
    <t>INZEGANE SOM</t>
  </si>
  <si>
    <t>E14 BOUMDIANE MOHAMED</t>
  </si>
  <si>
    <t>I03 EL OUAHMI ACHRAF</t>
  </si>
  <si>
    <t>INZEGANE VMM</t>
  </si>
  <si>
    <t>K91 BAIZ MOHAMED</t>
  </si>
  <si>
    <t>1 568%</t>
  </si>
  <si>
    <t>AIT MELLOUL SOM</t>
  </si>
  <si>
    <t>F78 GHOUSMI MOURAD</t>
  </si>
  <si>
    <t>-12 646%</t>
  </si>
  <si>
    <t>AIT MELLOUL VMM</t>
  </si>
  <si>
    <t>E60 BOUALLALI FARID</t>
  </si>
  <si>
    <t>1 010%</t>
  </si>
  <si>
    <t>1 447%</t>
  </si>
  <si>
    <t>AGADIR EXTERIEUR SOM VMM</t>
  </si>
  <si>
    <t>T89 AKNOUN MOHAMED</t>
  </si>
  <si>
    <t>TAROUDANTE EXT IDAOUTANANE</t>
  </si>
  <si>
    <t>VIDE</t>
  </si>
  <si>
    <t>K60 ELHAOUZI RACHID</t>
  </si>
  <si>
    <t>TAROUDANT SOM VMM</t>
  </si>
  <si>
    <t>D48 IBACH MOHAMED</t>
  </si>
  <si>
    <t>OULED TEIMA SOM VMM</t>
  </si>
  <si>
    <t>J78 LASRI EL HOUCINE</t>
  </si>
  <si>
    <t>AGADIR TIKIOUINE SOM</t>
  </si>
  <si>
    <t>D86 ACHAOUI AZIZ</t>
  </si>
  <si>
    <t>AGADIR TIKIOUINE VMM</t>
  </si>
  <si>
    <t>E66 MOUTAOUAKIL MOSTAFA</t>
  </si>
  <si>
    <t>AGADIR HAY SALAM SOM</t>
  </si>
  <si>
    <t>D45 OUARSSASSA YASSINE</t>
  </si>
  <si>
    <t>AGADIR HAY SALAM VMM</t>
  </si>
  <si>
    <t>Y60 ATOUAOU AIMAD</t>
  </si>
  <si>
    <t>AGADIR HAY EL MOHAMADI VMM</t>
  </si>
  <si>
    <t>F77 EL MEZRAOUI YOUSSEF</t>
  </si>
  <si>
    <t>1 858%</t>
  </si>
  <si>
    <t>AGADIR HAY EL MOHAMADI SOM</t>
  </si>
  <si>
    <t>Y59 EL GHANMI MOHAMED</t>
  </si>
  <si>
    <t>TIZNIT SOM VMM</t>
  </si>
  <si>
    <t>485 NAMOUSS ABDESSAMAD</t>
  </si>
  <si>
    <t>GUELMIM SOM VMM</t>
  </si>
  <si>
    <t>F82 AKKA ABDESSLAM</t>
  </si>
  <si>
    <t>JJ2 EL ASERY YOUSSEF</t>
  </si>
  <si>
    <t>BOUIZAKARN SOM</t>
  </si>
  <si>
    <t>J23 ACHTOUK LAHOUCINE</t>
  </si>
  <si>
    <t>CENTRE VILLE SOM</t>
  </si>
  <si>
    <t>J54 AIT KHALI ABDREZZAK</t>
  </si>
  <si>
    <t>CENTRE VILLE VMM</t>
  </si>
  <si>
    <t>T45 FAICAL GOUIZID</t>
  </si>
  <si>
    <t>CDZ AGADIR GROS</t>
  </si>
  <si>
    <t>CDZ AGADIR DET1</t>
  </si>
  <si>
    <t>CHAKIB ELFIL</t>
  </si>
  <si>
    <t>CDZ AGADIR DET2</t>
  </si>
  <si>
    <t>BOUTMEZGUINE EL MOSTAFA</t>
  </si>
  <si>
    <t>CDA AGADIR</t>
  </si>
  <si>
    <t xml:space="preserve">  OCT 2024/2025</t>
  </si>
  <si>
    <t>97 723%</t>
  </si>
  <si>
    <t>8 669%</t>
  </si>
  <si>
    <t>1 217%</t>
  </si>
  <si>
    <t>-27 295%</t>
  </si>
  <si>
    <t>1 250%</t>
  </si>
  <si>
    <t>-2 000%</t>
  </si>
  <si>
    <t>4 600%</t>
  </si>
  <si>
    <t>3 796%</t>
  </si>
  <si>
    <t>2 253%</t>
  </si>
  <si>
    <t>1 763%</t>
  </si>
  <si>
    <t>1 162%</t>
  </si>
  <si>
    <t>2 535%</t>
  </si>
  <si>
    <t>8 925%</t>
  </si>
  <si>
    <t>2 272%</t>
  </si>
  <si>
    <t>5 458%</t>
  </si>
  <si>
    <t>6 097%</t>
  </si>
  <si>
    <t>1 818%</t>
  </si>
  <si>
    <t>-1 700%</t>
  </si>
  <si>
    <t>-1 477%</t>
  </si>
  <si>
    <t>MADEC S.A</t>
  </si>
  <si>
    <t>Direction commerciale</t>
  </si>
  <si>
    <t>SUIVI QUALI FDV SOM-VMM AU 8 AOUT 2022</t>
  </si>
  <si>
    <t>ACM</t>
  </si>
  <si>
    <t>TSM</t>
  </si>
  <si>
    <t>TCM</t>
  </si>
  <si>
    <t>TPR</t>
  </si>
  <si>
    <t>L/BL</t>
  </si>
  <si>
    <t>REG.</t>
  </si>
  <si>
    <t>SEC.</t>
  </si>
  <si>
    <t>REP.</t>
  </si>
  <si>
    <t>Cat.</t>
  </si>
  <si>
    <t>CIR.</t>
  </si>
  <si>
    <t>CLT PROGRAMME</t>
  </si>
  <si>
    <t>CLT FACTURE</t>
  </si>
  <si>
    <t>Nbres BL</t>
  </si>
  <si>
    <t>CLIENT VISITE</t>
  </si>
  <si>
    <t>Nbres DE REFERENCE</t>
  </si>
  <si>
    <t>REF MVT</t>
  </si>
  <si>
    <t>Moy L/BL</t>
  </si>
  <si>
    <t>Obj L/BL</t>
  </si>
  <si>
    <t>Vendeur</t>
  </si>
  <si>
    <t>LINE</t>
  </si>
  <si>
    <t>RAF TSM</t>
  </si>
  <si>
    <t>RAF ACM</t>
  </si>
  <si>
    <t>Famille</t>
  </si>
  <si>
    <t>REAL</t>
  </si>
  <si>
    <t>OBJ</t>
  </si>
  <si>
    <t>Percent</t>
  </si>
  <si>
    <t>REAL 2025</t>
  </si>
  <si>
    <t>H 2024</t>
  </si>
  <si>
    <t>H %</t>
  </si>
  <si>
    <t>EnCours</t>
  </si>
  <si>
    <t>OBJ MOIS</t>
  </si>
  <si>
    <t>RAF</t>
  </si>
  <si>
    <t>MGM</t>
  </si>
  <si>
    <t>CONDIMENTS</t>
  </si>
  <si>
    <t>SAUCES TACOS</t>
  </si>
  <si>
    <t>CONSERVES</t>
  </si>
  <si>
    <t>MISWAK</t>
  </si>
  <si>
    <t>C.A (ht)</t>
  </si>
  <si>
    <t>2 332%</t>
  </si>
  <si>
    <t>1 376%</t>
  </si>
  <si>
    <t>2 880%</t>
  </si>
  <si>
    <t>17 415%</t>
  </si>
  <si>
    <t>-3 180%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</si>
</sst>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#,##0%"/>
    <numFmt numFmtId="165" formatCode="dddd, mmmm dd, yyyy"/>
    <numFmt numFmtId="166" formatCode="#,##0.000000"/>
    <numFmt numFmtId="167" formatCode="#,##0.00%"/>
  </numFmts>
  <fonts count="20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1"/>
      <color theme="1"/>
      <name val="Calibri"/>
      <family val="2"/>
    </font>
    <font>
      <sz val="8"/>
      <color rgb="FF000080"/>
      <name val="Arial Baltic"/>
      <family val="2"/>
    </font>
    <font>
      <sz val="8"/>
      <color theme="1"/>
      <name val="Arial Baltic"/>
      <family val="2"/>
    </font>
    <font>
      <u/>
      <sz val="10"/>
      <color theme="1"/>
      <name val="Arial"/>
      <family val="2"/>
    </font>
    <font>
      <u/>
      <sz val="14"/>
      <color rgb="FF000080"/>
      <name val="Garamond"/>
      <family val="2"/>
    </font>
    <font>
      <sz val="10"/>
      <color theme="1"/>
      <name val="Arial"/>
      <family val="2"/>
    </font>
    <font>
      <u/>
      <sz val="10"/>
      <color rgb="FF000080"/>
      <name val="Arial"/>
      <family val="2"/>
    </font>
    <font>
      <sz val="12"/>
      <color rgb="FF000080"/>
      <name val="High Tower Text"/>
      <family val="2"/>
    </font>
    <font>
      <sz val="8"/>
      <color rgb="FF000000"/>
      <name val="Arial Baltic"/>
      <family val="2"/>
    </font>
    <font>
      <sz val="10"/>
      <color rgb="FF000080"/>
      <name val="MS Sans Serif"/>
      <family val="2"/>
    </font>
    <font>
      <sz val="10"/>
      <color theme="1"/>
      <name val="MS Sans Serif"/>
      <family val="2"/>
    </font>
    <font>
      <sz val="9"/>
      <color theme="1"/>
      <name val="Garamond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color rgb="FFffffff"/>
      <name val="Garamond"/>
      <family val="2"/>
    </font>
    <font>
      <u/>
      <sz val="9"/>
      <color rgb="FF1f497d"/>
      <name val="Garamond"/>
      <family val="2"/>
    </font>
    <font>
      <sz val="10"/>
      <color rgb="FF003366"/>
      <name val="Garamond"/>
      <family val="2"/>
    </font>
    <font>
      <sz val="10"/>
      <color theme="1"/>
      <name val="Garamond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92d050"/>
      </patternFill>
    </fill>
    <fill>
      <patternFill patternType="solid">
        <fgColor rgb="FF558ed5"/>
      </patternFill>
    </fill>
    <fill>
      <patternFill patternType="solid">
        <fgColor rgb="FF99ccff"/>
      </patternFill>
    </fill>
    <fill>
      <patternFill patternType="solid">
        <fgColor rgb="FF00b050"/>
      </patternFill>
    </fill>
    <fill>
      <patternFill patternType="solid">
        <fgColor rgb="FF4cbb17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5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6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vertical="top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left" vertical="top"/>
    </xf>
    <xf xfId="0" numFmtId="14" applyNumberFormat="1" borderId="0" fontId="0" fillId="0" applyAlignment="1">
      <alignment horizontal="general"/>
    </xf>
    <xf xfId="0" numFmtId="3" applyNumberFormat="1" borderId="2" applyBorder="1" fontId="1" applyFont="1" fillId="2" applyFill="1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3" applyNumberFormat="1" borderId="4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14" applyNumberFormat="1" borderId="2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0" borderId="2" applyBorder="1" fontId="1" applyFont="1" fillId="2" applyFill="1" applyAlignment="1">
      <alignment horizontal="left" vertical="top"/>
    </xf>
    <xf xfId="0" numFmtId="0" borderId="5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4" applyNumberFormat="1" borderId="1" applyBorder="1" fontId="1" applyFont="1" fillId="2" applyFill="1" applyAlignment="1">
      <alignment horizontal="center" vertical="top"/>
    </xf>
    <xf xfId="0" numFmtId="3" applyNumberFormat="1" borderId="0" fontId="0" fillId="0" applyAlignment="1">
      <alignment horizontal="general"/>
    </xf>
    <xf xfId="0" numFmtId="0" borderId="6" applyBorder="1" fontId="3" applyFont="1" fillId="0" applyAlignment="1">
      <alignment horizontal="left"/>
    </xf>
    <xf xfId="0" numFmtId="0" borderId="6" applyBorder="1" fontId="4" applyFont="1" fillId="0" applyAlignment="1">
      <alignment horizontal="left"/>
    </xf>
    <xf xfId="0" numFmtId="0" borderId="6" applyBorder="1" fontId="4" applyFont="1" fillId="0" applyAlignment="1">
      <alignment horizontal="center"/>
    </xf>
    <xf xfId="0" numFmtId="3" applyNumberFormat="1" borderId="6" applyBorder="1" fontId="4" applyFont="1" fillId="0" applyAlignment="1">
      <alignment horizontal="center"/>
    </xf>
    <xf xfId="0" numFmtId="164" applyNumberFormat="1" borderId="0" fontId="0" fillId="0" applyAlignment="1">
      <alignment horizontal="right"/>
    </xf>
    <xf xfId="0" numFmtId="3" applyNumberFormat="1" borderId="6" applyBorder="1" fontId="5" applyFont="1" fillId="0" applyAlignment="1">
      <alignment horizontal="left"/>
    </xf>
    <xf xfId="0" numFmtId="164" applyNumberFormat="1" borderId="6" applyBorder="1" fontId="6" applyFont="1" fillId="0" applyAlignment="1">
      <alignment horizontal="center"/>
    </xf>
    <xf xfId="0" numFmtId="164" applyNumberFormat="1" borderId="6" applyBorder="1" fontId="5" applyFont="1" fillId="0" applyAlignment="1">
      <alignment horizontal="left"/>
    </xf>
    <xf xfId="0" numFmtId="165" applyNumberFormat="1" borderId="6" applyBorder="1" fontId="7" applyFont="1" fillId="0" applyAlignment="1">
      <alignment horizontal="left"/>
    </xf>
    <xf xfId="0" numFmtId="165" applyNumberFormat="1" borderId="6" applyBorder="1" fontId="7" applyFont="1" fillId="0" applyAlignment="1">
      <alignment horizontal="center"/>
    </xf>
    <xf xfId="0" numFmtId="0" borderId="6" applyBorder="1" fontId="5" applyFont="1" fillId="0" applyAlignment="1">
      <alignment horizontal="left"/>
    </xf>
    <xf xfId="0" numFmtId="164" applyNumberFormat="1" borderId="6" applyBorder="1" fontId="8" applyFont="1" fillId="0" applyAlignment="1">
      <alignment horizontal="left"/>
    </xf>
    <xf xfId="0" numFmtId="0" borderId="6" applyBorder="1" fontId="9" applyFont="1" fillId="0" applyAlignment="1">
      <alignment horizontal="center"/>
    </xf>
    <xf xfId="0" numFmtId="164" applyNumberFormat="1" borderId="7" applyBorder="1" fontId="10" applyFont="1" fillId="3" applyFill="1" applyAlignment="1">
      <alignment horizontal="center"/>
    </xf>
    <xf xfId="0" numFmtId="164" applyNumberFormat="1" borderId="8" applyBorder="1" fontId="2" applyFont="1" fillId="0" applyAlignment="1">
      <alignment horizontal="left"/>
    </xf>
    <xf xfId="0" numFmtId="3" applyNumberFormat="1" borderId="9" applyBorder="1" fontId="2" applyFont="1" fillId="0" applyAlignment="1">
      <alignment horizontal="left"/>
    </xf>
    <xf xfId="0" numFmtId="164" applyNumberFormat="1" borderId="7" applyBorder="1" fontId="4" applyFont="1" fillId="3" applyFill="1" applyAlignment="1">
      <alignment horizontal="center"/>
    </xf>
    <xf xfId="0" numFmtId="164" applyNumberFormat="1" borderId="9" applyBorder="1" fontId="2" applyFont="1" fillId="0" applyAlignment="1">
      <alignment horizontal="left"/>
    </xf>
    <xf xfId="0" numFmtId="164" applyNumberFormat="1" borderId="10" applyBorder="1" fontId="4" applyFont="1" fillId="3" applyFill="1" applyAlignment="1">
      <alignment horizontal="center"/>
    </xf>
    <xf xfId="0" numFmtId="164" applyNumberFormat="1" borderId="11" applyBorder="1" fontId="4" applyFont="1" fillId="3" applyFill="1" applyAlignment="1">
      <alignment horizontal="center"/>
    </xf>
    <xf xfId="0" numFmtId="3" applyNumberFormat="1" borderId="12" applyBorder="1" fontId="2" applyFont="1" fillId="0" applyAlignment="1">
      <alignment horizontal="left"/>
    </xf>
    <xf xfId="0" numFmtId="164" applyNumberFormat="1" borderId="13" applyBorder="1" fontId="4" applyFont="1" fillId="3" applyFill="1" applyAlignment="1">
      <alignment horizontal="center"/>
    </xf>
    <xf xfId="0" numFmtId="164" applyNumberFormat="1" borderId="14" applyBorder="1" fontId="4" applyFont="1" fillId="3" applyFill="1" applyAlignment="1">
      <alignment horizontal="center" vertical="top"/>
    </xf>
    <xf xfId="0" numFmtId="3" applyNumberFormat="1" borderId="15" applyBorder="1" fontId="10" applyFont="1" fillId="3" applyFill="1" applyAlignment="1">
      <alignment horizontal="center"/>
    </xf>
    <xf xfId="0" numFmtId="3" applyNumberFormat="1" borderId="2" applyBorder="1" fontId="10" applyFont="1" fillId="3" applyFill="1" applyAlignment="1">
      <alignment horizontal="center"/>
    </xf>
    <xf xfId="0" numFmtId="3" applyNumberFormat="1" borderId="16" applyBorder="1" fontId="10" applyFont="1" fillId="3" applyFill="1" applyAlignment="1">
      <alignment horizontal="center"/>
    </xf>
    <xf xfId="0" numFmtId="3" applyNumberFormat="1" borderId="15" applyBorder="1" fontId="4" applyFont="1" fillId="3" applyFill="1" applyAlignment="1">
      <alignment horizontal="center"/>
    </xf>
    <xf xfId="0" numFmtId="3" applyNumberFormat="1" borderId="16" applyBorder="1" fontId="4" applyFont="1" fillId="3" applyFill="1" applyAlignment="1">
      <alignment horizontal="center"/>
    </xf>
    <xf xfId="0" numFmtId="164" applyNumberFormat="1" borderId="17" applyBorder="1" fontId="4" applyFont="1" fillId="3" applyFill="1" applyAlignment="1">
      <alignment horizontal="center"/>
    </xf>
    <xf xfId="0" numFmtId="164" applyNumberFormat="1" borderId="2" applyBorder="1" fontId="4" applyFont="1" fillId="3" applyFill="1" applyAlignment="1">
      <alignment horizontal="center"/>
    </xf>
    <xf xfId="0" numFmtId="164" applyNumberFormat="1" borderId="18" applyBorder="1" fontId="4" applyFont="1" fillId="3" applyFill="1" applyAlignment="1">
      <alignment horizontal="center"/>
    </xf>
    <xf xfId="0" numFmtId="164" applyNumberFormat="1" borderId="16" applyBorder="1" fontId="4" applyFont="1" fillId="3" applyFill="1" applyAlignment="1">
      <alignment horizontal="center"/>
    </xf>
    <xf xfId="0" numFmtId="3" applyNumberFormat="1" borderId="2" applyBorder="1" fontId="4" applyFont="1" fillId="3" applyFill="1" applyAlignment="1">
      <alignment horizontal="center"/>
    </xf>
    <xf xfId="0" numFmtId="164" applyNumberFormat="1" borderId="15" applyBorder="1" fontId="4" applyFont="1" fillId="3" applyFill="1" applyAlignment="1">
      <alignment horizontal="center"/>
    </xf>
    <xf xfId="0" numFmtId="164" applyNumberFormat="1" borderId="19" applyBorder="1" fontId="2" applyFont="1" fillId="0" applyAlignment="1">
      <alignment horizontal="left"/>
    </xf>
    <xf xfId="0" numFmtId="0" borderId="20" applyBorder="1" fontId="4" applyFont="1" fillId="3" applyFill="1" applyAlignment="1">
      <alignment horizontal="left"/>
    </xf>
    <xf xfId="0" numFmtId="0" borderId="21" applyBorder="1" fontId="4" applyFont="1" fillId="3" applyFill="1" applyAlignment="1">
      <alignment horizontal="center"/>
    </xf>
    <xf xfId="0" numFmtId="3" applyNumberFormat="1" borderId="22" applyBorder="1" fontId="4" applyFont="1" fillId="3" applyFill="1" applyAlignment="1">
      <alignment horizontal="center"/>
    </xf>
    <xf xfId="0" numFmtId="3" applyNumberFormat="1" borderId="23" applyBorder="1" fontId="10" applyFont="1" fillId="3" applyFill="1" applyAlignment="1">
      <alignment horizontal="center"/>
    </xf>
    <xf xfId="0" numFmtId="3" applyNumberFormat="1" borderId="24" applyBorder="1" fontId="10" applyFont="1" fillId="3" applyFill="1" applyAlignment="1">
      <alignment horizontal="center"/>
    </xf>
    <xf xfId="0" numFmtId="3" applyNumberFormat="1" borderId="25" applyBorder="1" fontId="10" applyFont="1" fillId="3" applyFill="1" applyAlignment="1">
      <alignment horizontal="center"/>
    </xf>
    <xf xfId="0" numFmtId="3" applyNumberFormat="1" borderId="23" applyBorder="1" fontId="4" applyFont="1" fillId="3" applyFill="1" applyAlignment="1">
      <alignment horizontal="center"/>
    </xf>
    <xf xfId="0" numFmtId="3" applyNumberFormat="1" borderId="25" applyBorder="1" fontId="4" applyFont="1" fillId="3" applyFill="1" applyAlignment="1">
      <alignment horizontal="center"/>
    </xf>
    <xf xfId="0" numFmtId="3" applyNumberFormat="1" borderId="26" applyBorder="1" fontId="4" applyFont="1" fillId="3" applyFill="1" applyAlignment="1">
      <alignment horizontal="center"/>
    </xf>
    <xf xfId="0" numFmtId="3" applyNumberFormat="1" borderId="24" applyBorder="1" fontId="4" applyFont="1" fillId="3" applyFill="1" applyAlignment="1">
      <alignment horizontal="center"/>
    </xf>
    <xf xfId="0" numFmtId="164" applyNumberFormat="1" borderId="24" applyBorder="1" fontId="4" applyFont="1" fillId="3" applyFill="1" applyAlignment="1">
      <alignment horizontal="center"/>
    </xf>
    <xf xfId="0" numFmtId="164" applyNumberFormat="1" borderId="27" applyBorder="1" fontId="4" applyFont="1" fillId="3" applyFill="1" applyAlignment="1">
      <alignment horizontal="center"/>
    </xf>
    <xf xfId="0" numFmtId="164" applyNumberFormat="1" borderId="23" applyBorder="1" fontId="4" applyFont="1" fillId="3" applyFill="1" applyAlignment="1">
      <alignment horizontal="center"/>
    </xf>
    <xf xfId="0" numFmtId="164" applyNumberFormat="1" borderId="28" applyBorder="1" fontId="7" applyFont="1" fillId="3" applyFill="1" applyAlignment="1">
      <alignment horizontal="left"/>
    </xf>
    <xf xfId="0" numFmtId="0" borderId="6" applyBorder="1" fontId="7" applyFont="1" fillId="0" applyAlignment="1">
      <alignment horizontal="left"/>
    </xf>
    <xf xfId="0" numFmtId="3" applyNumberFormat="1" borderId="6" applyBorder="1" fontId="7" applyFont="1" fillId="0" applyAlignment="1">
      <alignment horizontal="right"/>
    </xf>
    <xf xfId="0" numFmtId="4" applyNumberFormat="1" borderId="6" applyBorder="1" fontId="7" applyFont="1" fillId="0" applyAlignment="1">
      <alignment horizontal="right"/>
    </xf>
    <xf xfId="0" numFmtId="3" applyNumberFormat="1" borderId="6" applyBorder="1" fontId="7" applyFont="1" fillId="0" applyAlignment="1">
      <alignment horizontal="left"/>
    </xf>
    <xf xfId="0" numFmtId="164" applyNumberFormat="1" borderId="6" applyBorder="1" fontId="7" applyFont="1" fillId="0" applyAlignment="1">
      <alignment horizontal="right"/>
    </xf>
    <xf xfId="0" numFmtId="164" applyNumberFormat="1" borderId="6" applyBorder="1" fontId="7" applyFont="1" fillId="0" applyAlignment="1">
      <alignment horizontal="left"/>
    </xf>
    <xf xfId="0" numFmtId="164" applyNumberFormat="1" borderId="0" fontId="0" fillId="0" applyAlignment="1">
      <alignment horizontal="right"/>
    </xf>
    <xf xfId="0" numFmtId="166" applyNumberFormat="1" borderId="6" applyBorder="1" fontId="7" applyFont="1" fillId="0" applyAlignment="1">
      <alignment horizontal="right"/>
    </xf>
    <xf xfId="0" numFmtId="0" borderId="6" applyBorder="1" fontId="3" applyFont="1" fillId="0" applyAlignment="1">
      <alignment horizontal="center"/>
    </xf>
    <xf xfId="0" numFmtId="3" applyNumberFormat="1" borderId="6" applyBorder="1" fontId="3" applyFont="1" fillId="0" applyAlignment="1">
      <alignment horizontal="center"/>
    </xf>
    <xf xfId="0" numFmtId="164" applyNumberFormat="1" borderId="6" applyBorder="1" fontId="11" applyFont="1" fillId="0" applyAlignment="1">
      <alignment horizontal="center"/>
    </xf>
    <xf xfId="0" numFmtId="3" applyNumberFormat="1" borderId="6" applyBorder="1" fontId="11" applyFont="1" fillId="0" applyAlignment="1">
      <alignment horizontal="center"/>
    </xf>
    <xf xfId="0" numFmtId="165" applyNumberFormat="1" borderId="6" applyBorder="1" fontId="11" applyFont="1" fillId="0" applyAlignment="1">
      <alignment horizontal="center" vertical="top"/>
    </xf>
    <xf xfId="0" numFmtId="164" applyNumberFormat="1" borderId="6" applyBorder="1" fontId="8" applyFont="1" fillId="0" applyAlignment="1">
      <alignment horizontal="center"/>
    </xf>
    <xf xfId="0" numFmtId="3" applyNumberFormat="1" borderId="6" applyBorder="1" fontId="8" applyFont="1" fillId="0" applyAlignment="1">
      <alignment horizontal="left"/>
    </xf>
    <xf xfId="0" numFmtId="164" applyNumberFormat="1" borderId="6" applyBorder="1" fontId="11" applyFont="1" fillId="0" applyAlignment="1">
      <alignment horizontal="left"/>
    </xf>
    <xf xfId="0" numFmtId="164" applyNumberFormat="1" borderId="6" applyBorder="1" fontId="12" applyFont="1" fillId="0" applyAlignment="1">
      <alignment horizontal="center"/>
    </xf>
    <xf xfId="0" numFmtId="3" applyNumberFormat="1" borderId="6" applyBorder="1" fontId="12" applyFont="1" fillId="0" applyAlignment="1">
      <alignment horizontal="center"/>
    </xf>
    <xf xfId="0" numFmtId="164" applyNumberFormat="1" borderId="12" applyBorder="1" fontId="2" applyFont="1" fillId="0" applyAlignment="1">
      <alignment horizontal="left"/>
    </xf>
    <xf xfId="0" numFmtId="164" applyNumberFormat="1" borderId="29" applyBorder="1" fontId="4" applyFont="1" fillId="3" applyFill="1" applyAlignment="1">
      <alignment horizontal="center"/>
    </xf>
    <xf xfId="0" numFmtId="3" applyNumberFormat="1" borderId="8" applyBorder="1" fontId="2" applyFont="1" fillId="0" applyAlignment="1">
      <alignment horizontal="left"/>
    </xf>
    <xf xfId="0" numFmtId="164" applyNumberFormat="1" borderId="30" applyBorder="1" fontId="4" applyFont="1" fillId="3" applyFill="1" applyAlignment="1">
      <alignment horizontal="center"/>
    </xf>
    <xf xfId="0" numFmtId="164" applyNumberFormat="1" borderId="31" applyBorder="1" fontId="2" applyFont="1" fillId="0" applyAlignment="1">
      <alignment horizontal="left"/>
    </xf>
    <xf xfId="0" numFmtId="3" applyNumberFormat="1" borderId="31" applyBorder="1" fontId="2" applyFont="1" fillId="0" applyAlignment="1">
      <alignment horizontal="left"/>
    </xf>
    <xf xfId="0" numFmtId="0" borderId="32" applyBorder="1" fontId="2" applyFont="1" fillId="0" applyAlignment="1">
      <alignment horizontal="left"/>
    </xf>
    <xf xfId="0" numFmtId="164" applyNumberFormat="1" borderId="33" applyBorder="1" fontId="4" applyFont="1" fillId="3" applyFill="1" applyAlignment="1">
      <alignment horizontal="center"/>
    </xf>
    <xf xfId="0" numFmtId="3" applyNumberFormat="1" borderId="34" applyBorder="1" fontId="4" applyFont="1" fillId="3" applyFill="1" applyAlignment="1">
      <alignment horizontal="center"/>
    </xf>
    <xf xfId="0" numFmtId="4" applyNumberFormat="1" borderId="35" applyBorder="1" fontId="4" applyFont="1" fillId="3" applyFill="1" applyAlignment="1">
      <alignment horizontal="center"/>
    </xf>
    <xf xfId="0" numFmtId="3" applyNumberFormat="1" borderId="36" applyBorder="1" fontId="4" applyFont="1" fillId="3" applyFill="1" applyAlignment="1">
      <alignment horizontal="center"/>
    </xf>
    <xf xfId="0" numFmtId="4" applyNumberFormat="1" borderId="15" applyBorder="1" fontId="4" applyFont="1" fillId="3" applyFill="1" applyAlignment="1">
      <alignment horizontal="center"/>
    </xf>
    <xf xfId="0" numFmtId="164" applyNumberFormat="1" borderId="37" applyBorder="1" fontId="4" applyFont="1" fillId="3" applyFill="1" applyAlignment="1">
      <alignment horizontal="center" vertical="top"/>
    </xf>
    <xf xfId="0" numFmtId="0" borderId="19" applyBorder="1" fontId="7" applyFont="1" fillId="0" applyAlignment="1">
      <alignment horizontal="center"/>
    </xf>
    <xf xfId="0" numFmtId="3" applyNumberFormat="1" borderId="21" applyBorder="1" fontId="4" applyFont="1" fillId="3" applyFill="1" applyAlignment="1">
      <alignment horizontal="center"/>
    </xf>
    <xf xfId="0" numFmtId="3" applyNumberFormat="1" borderId="27" applyBorder="1" fontId="4" applyFont="1" fillId="3" applyFill="1" applyAlignment="1">
      <alignment horizontal="center"/>
    </xf>
    <xf xfId="0" numFmtId="3" applyNumberFormat="1" borderId="38" applyBorder="1" fontId="4" applyFont="1" fillId="3" applyFill="1" applyAlignment="1">
      <alignment horizontal="center"/>
    </xf>
    <xf xfId="0" numFmtId="3" applyNumberFormat="1" borderId="39" applyBorder="1" fontId="4" applyFont="1" fillId="3" applyFill="1" applyAlignment="1">
      <alignment horizontal="center"/>
    </xf>
    <xf xfId="0" numFmtId="164" applyNumberFormat="1" borderId="39" applyBorder="1" fontId="4" applyFont="1" fillId="3" applyFill="1" applyAlignment="1">
      <alignment horizontal="center"/>
    </xf>
    <xf xfId="0" numFmtId="3" applyNumberFormat="1" borderId="40" applyBorder="1" fontId="4" applyFont="1" fillId="3" applyFill="1" applyAlignment="1">
      <alignment horizontal="center"/>
    </xf>
    <xf xfId="0" numFmtId="164" applyNumberFormat="1" borderId="25" applyBorder="1" fontId="4" applyFont="1" fillId="3" applyFill="1" applyAlignment="1">
      <alignment horizontal="center"/>
    </xf>
    <xf xfId="0" numFmtId="164" applyNumberFormat="1" borderId="41" applyBorder="1" fontId="4" applyFont="1" fillId="3" applyFill="1" applyAlignment="1">
      <alignment horizontal="center"/>
    </xf>
    <xf xfId="0" numFmtId="3" applyNumberFormat="1" borderId="42" applyBorder="1" fontId="4" applyFont="1" fillId="3" applyFill="1" applyAlignment="1">
      <alignment horizontal="center"/>
    </xf>
    <xf xfId="0" numFmtId="164" applyNumberFormat="1" borderId="43" applyBorder="1" fontId="2" applyFont="1" fillId="0" applyAlignment="1">
      <alignment horizontal="left"/>
    </xf>
    <xf xfId="0" numFmtId="0" borderId="43" applyBorder="1" fontId="2" applyFont="1" fillId="0" applyAlignment="1">
      <alignment horizontal="left"/>
    </xf>
    <xf xfId="0" numFmtId="3" applyNumberFormat="1" borderId="6" applyBorder="1" fontId="2" applyFont="1" fillId="0" applyAlignment="1">
      <alignment horizontal="right"/>
    </xf>
    <xf xfId="0" numFmtId="4" applyNumberFormat="1" borderId="6" applyBorder="1" fontId="2" applyFont="1" fillId="0" applyAlignment="1">
      <alignment horizontal="right"/>
    </xf>
    <xf xfId="0" numFmtId="164" applyNumberFormat="1" borderId="6" applyBorder="1" fontId="2" applyFont="1" fillId="0" applyAlignment="1">
      <alignment horizontal="right"/>
    </xf>
    <xf xfId="0" numFmtId="164" applyNumberFormat="1" borderId="6" applyBorder="1" fontId="2" applyFont="1" fillId="0" applyAlignment="1">
      <alignment horizontal="left"/>
    </xf>
    <xf xfId="0" numFmtId="166" applyNumberFormat="1" borderId="6" applyBorder="1" fontId="2" applyFont="1" fillId="0" applyAlignment="1">
      <alignment horizontal="right"/>
    </xf>
    <xf xfId="0" numFmtId="0" borderId="6" applyBorder="1" fontId="13" applyFont="1" fillId="0" applyAlignment="1">
      <alignment horizontal="left"/>
    </xf>
    <xf xfId="0" numFmtId="0" borderId="11" applyBorder="1" fontId="7" applyFont="1" fillId="4" applyFill="1" applyAlignment="1">
      <alignment horizontal="left"/>
    </xf>
    <xf xfId="0" numFmtId="0" borderId="7" applyBorder="1" fontId="7" applyFont="1" fillId="4" applyFill="1" applyAlignment="1">
      <alignment horizontal="center"/>
    </xf>
    <xf xfId="0" numFmtId="0" borderId="9" applyBorder="1" fontId="2" applyFont="1" fillId="0" applyAlignment="1">
      <alignment horizontal="left"/>
    </xf>
    <xf xfId="0" numFmtId="0" borderId="8" applyBorder="1" fontId="2" applyFont="1" fillId="0" applyAlignment="1">
      <alignment horizontal="left"/>
    </xf>
    <xf xfId="0" numFmtId="0" borderId="2" applyBorder="1" fontId="14" applyFont="1" fillId="5" applyFill="1" applyAlignment="1">
      <alignment horizontal="center"/>
    </xf>
    <xf xfId="0" numFmtId="0" borderId="18" applyBorder="1" fontId="14" applyFont="1" fillId="5" applyFill="1" applyAlignment="1">
      <alignment horizontal="center"/>
    </xf>
    <xf xfId="0" numFmtId="0" borderId="37" applyBorder="1" fontId="14" applyFont="1" fillId="4" applyFill="1" applyAlignment="1">
      <alignment horizontal="center" wrapText="1"/>
    </xf>
    <xf xfId="0" numFmtId="0" borderId="23" applyBorder="1" fontId="14" applyFont="1" fillId="4" applyFill="1" applyAlignment="1">
      <alignment horizontal="center" wrapText="1"/>
    </xf>
    <xf xfId="0" numFmtId="0" borderId="25" applyBorder="1" fontId="14" applyFont="1" fillId="4" applyFill="1" applyAlignment="1">
      <alignment horizontal="center" wrapText="1"/>
    </xf>
    <xf xfId="0" numFmtId="0" borderId="24" applyBorder="1" fontId="14" applyFont="1" fillId="4" applyFill="1" applyAlignment="1">
      <alignment horizontal="center" wrapText="1"/>
    </xf>
    <xf xfId="0" numFmtId="0" borderId="25" applyBorder="1" fontId="7" applyFont="1" fillId="4" applyFill="1" applyAlignment="1">
      <alignment horizontal="center"/>
    </xf>
    <xf xfId="0" numFmtId="3" applyNumberFormat="1" borderId="6" applyBorder="1" fontId="13" applyFont="1" fillId="0" applyAlignment="1">
      <alignment horizontal="center"/>
    </xf>
    <xf xfId="0" numFmtId="167" applyNumberFormat="1" borderId="6" applyBorder="1" fontId="7" applyFont="1" fillId="0" applyAlignment="1">
      <alignment horizontal="right"/>
    </xf>
    <xf xfId="0" numFmtId="0" borderId="44" applyBorder="1" fontId="15" applyFont="1" fillId="2" applyFill="1" applyAlignment="1">
      <alignment horizontal="center"/>
    </xf>
    <xf xfId="0" numFmtId="3" applyNumberFormat="1" borderId="45" applyBorder="1" fontId="15" applyFont="1" fillId="2" applyFill="1" applyAlignment="1">
      <alignment horizontal="center" wrapText="1"/>
    </xf>
    <xf xfId="0" numFmtId="164" applyNumberFormat="1" borderId="46" applyBorder="1" fontId="15" applyFont="1" fillId="6" applyFill="1" applyAlignment="1">
      <alignment horizontal="center" wrapText="1"/>
    </xf>
    <xf xfId="0" numFmtId="4" applyNumberFormat="1" borderId="47" applyBorder="1" fontId="15" applyFont="1" fillId="2" applyFill="1" applyAlignment="1">
      <alignment horizontal="center" wrapText="1"/>
    </xf>
    <xf xfId="0" numFmtId="4" applyNumberFormat="1" borderId="48" applyBorder="1" fontId="15" applyFont="1" fillId="2" applyFill="1" applyAlignment="1">
      <alignment horizontal="center" wrapText="1"/>
    </xf>
    <xf xfId="0" numFmtId="164" applyNumberFormat="1" borderId="46" applyBorder="1" fontId="1" applyFont="1" fillId="7" applyFill="1" applyAlignment="1">
      <alignment horizontal="center"/>
    </xf>
    <xf xfId="0" numFmtId="166" applyNumberFormat="1" borderId="46" applyBorder="1" fontId="1" applyFont="1" fillId="7" applyFill="1" applyAlignment="1">
      <alignment horizontal="center"/>
    </xf>
    <xf xfId="0" numFmtId="0" borderId="1" applyBorder="1" fontId="2" applyFont="1" fillId="8" applyFill="1" applyAlignment="1">
      <alignment horizontal="left"/>
    </xf>
    <xf xfId="0" numFmtId="3" applyNumberFormat="1" borderId="1" applyBorder="1" fontId="2" applyFont="1" fillId="8" applyFill="1" applyAlignment="1">
      <alignment horizontal="right"/>
    </xf>
    <xf xfId="0" numFmtId="164" applyNumberFormat="1" borderId="1" applyBorder="1" fontId="2" applyFont="1" fillId="8" applyFill="1" applyAlignment="1">
      <alignment horizontal="right"/>
    </xf>
    <xf xfId="0" numFmtId="4" applyNumberFormat="1" borderId="1" applyBorder="1" fontId="2" applyFont="1" fillId="8" applyFill="1" applyAlignment="1">
      <alignment horizontal="right"/>
    </xf>
    <xf xfId="0" numFmtId="166" applyNumberFormat="1" borderId="1" applyBorder="1" fontId="13" applyFont="1" fillId="9" applyFill="1" applyAlignment="1">
      <alignment horizontal="right"/>
    </xf>
    <xf xfId="0" numFmtId="166" applyNumberFormat="1" borderId="1" applyBorder="1" fontId="13" applyFont="1" fillId="8" applyFill="1" applyAlignment="1">
      <alignment horizontal="right"/>
    </xf>
    <xf xfId="0" numFmtId="166" applyNumberFormat="1" borderId="0" fontId="0" fillId="0" applyAlignment="1">
      <alignment horizontal="general"/>
    </xf>
    <xf xfId="0" numFmtId="164" applyNumberFormat="1" borderId="1" applyBorder="1" fontId="13" applyFont="1" fillId="9" applyFill="1" applyAlignment="1">
      <alignment horizontal="right"/>
    </xf>
    <xf xfId="0" numFmtId="4" applyNumberFormat="1" borderId="1" applyBorder="1" fontId="13" applyFont="1" fillId="9" applyFill="1" applyAlignment="1">
      <alignment horizontal="right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0" borderId="49" applyBorder="1" fontId="16" applyFont="1" fillId="2" applyFill="1" applyAlignment="1">
      <alignment horizontal="center"/>
    </xf>
    <xf xfId="0" numFmtId="3" applyNumberFormat="1" borderId="48" applyBorder="1" fontId="16" applyFont="1" fillId="2" applyFill="1" applyAlignment="1">
      <alignment horizontal="left"/>
    </xf>
    <xf xfId="0" numFmtId="164" applyNumberFormat="1" borderId="48" applyBorder="1" fontId="16" applyFont="1" fillId="2" applyFill="1" applyAlignment="1">
      <alignment horizontal="right"/>
    </xf>
    <xf xfId="0" numFmtId="3" applyNumberFormat="1" borderId="50" applyBorder="1" fontId="16" applyFont="1" fillId="2" applyFill="1" applyAlignment="1">
      <alignment horizontal="left"/>
    </xf>
    <xf xfId="0" numFmtId="164" applyNumberFormat="1" borderId="51" applyBorder="1" fontId="16" applyFont="1" fillId="2" applyFill="1" applyAlignment="1">
      <alignment horizontal="right"/>
    </xf>
    <xf xfId="0" numFmtId="3" applyNumberFormat="1" borderId="52" applyBorder="1" fontId="16" applyFont="1" fillId="2" applyFill="1" applyAlignment="1">
      <alignment horizontal="center"/>
    </xf>
    <xf xfId="0" numFmtId="0" borderId="53" applyBorder="1" fontId="17" applyFont="1" fillId="9" applyFill="1" applyAlignment="1">
      <alignment horizontal="left"/>
    </xf>
    <xf xfId="0" numFmtId="0" borderId="53" applyBorder="1" fontId="18" applyFont="1" fillId="9" applyFill="1" applyAlignment="1">
      <alignment horizontal="left"/>
    </xf>
    <xf xfId="0" numFmtId="3" applyNumberFormat="1" borderId="53" applyBorder="1" fontId="19" applyFont="1" fillId="0" applyAlignment="1">
      <alignment horizontal="right"/>
    </xf>
    <xf xfId="0" numFmtId="164" applyNumberFormat="1" borderId="53" applyBorder="1" fontId="19" applyFont="1" fillId="0" applyAlignment="1">
      <alignment horizontal="right"/>
    </xf>
    <xf xfId="0" numFmtId="0" borderId="2" applyBorder="1" fontId="17" applyFont="1" fillId="9" applyFill="1" applyAlignment="1">
      <alignment horizontal="left"/>
    </xf>
    <xf xfId="0" numFmtId="0" borderId="2" applyBorder="1" fontId="18" applyFont="1" fillId="9" applyFill="1" applyAlignment="1">
      <alignment horizontal="left"/>
    </xf>
    <xf xfId="0" numFmtId="3" applyNumberFormat="1" borderId="2" applyBorder="1" fontId="19" applyFont="1" fillId="0" applyAlignment="1">
      <alignment horizontal="right"/>
    </xf>
    <xf xfId="0" numFmtId="164" applyNumberFormat="1" borderId="2" applyBorder="1" fontId="19" applyFont="1" fillId="0" applyAlignment="1">
      <alignment horizontal="right"/>
    </xf>
    <xf xfId="0" numFmtId="0" borderId="24" applyBorder="1" fontId="17" applyFont="1" fillId="9" applyFill="1" applyAlignment="1">
      <alignment horizontal="left"/>
    </xf>
    <xf xfId="0" numFmtId="0" borderId="24" applyBorder="1" fontId="18" applyFont="1" fillId="9" applyFill="1" applyAlignment="1">
      <alignment horizontal="left"/>
    </xf>
    <xf xfId="0" numFmtId="3" applyNumberFormat="1" borderId="24" applyBorder="1" fontId="19" applyFont="1" fillId="0" applyAlignment="1">
      <alignment horizontal="right"/>
    </xf>
    <xf xfId="0" numFmtId="164" applyNumberFormat="1" borderId="24" applyBorder="1" fontId="19" applyFont="1" fillId="0" applyAlignment="1">
      <alignment horizontal="right"/>
    </xf>
    <xf xfId="0" numFmtId="0" borderId="1" applyBorder="1" fontId="13" applyFont="1" fillId="9" applyFill="1" applyAlignment="1">
      <alignment horizontal="left"/>
    </xf>
    <xf xfId="0" numFmtId="3" applyNumberFormat="1" borderId="1" applyBorder="1" fontId="13" applyFont="1" fillId="9" applyFill="1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15"/>
  <sheetViews>
    <sheetView workbookViewId="0"/>
  </sheetViews>
  <sheetFormatPr defaultRowHeight="15" x14ac:dyDescent="0.25"/>
  <cols>
    <col min="1" max="1" style="19" width="22.14785714285714" customWidth="1" bestFit="1"/>
    <col min="2" max="2" style="19" width="34.005" customWidth="1" bestFit="1"/>
    <col min="3" max="3" style="24" width="34.005" customWidth="1" bestFit="1"/>
    <col min="4" max="4" style="24" width="13.147857142857141" customWidth="1" bestFit="1"/>
    <col min="5" max="5" style="152" width="13.147857142857141" customWidth="1" bestFit="1"/>
    <col min="6" max="6" style="24" width="11.719285714285713" customWidth="1" bestFit="1"/>
    <col min="7" max="7" style="24" width="13.005" customWidth="1" bestFit="1"/>
    <col min="8" max="8" style="152" width="8.005" customWidth="1" bestFit="1"/>
    <col min="9" max="9" style="24" width="11.576428571428572" customWidth="1" bestFit="1"/>
    <col min="10" max="10" style="24" width="7.433571428571429" customWidth="1" bestFit="1"/>
    <col min="11" max="11" style="24" width="13.147857142857141" customWidth="1" bestFit="1"/>
  </cols>
  <sheetData>
    <row x14ac:dyDescent="0.25" r="1" customHeight="1" ht="17.25">
      <c r="A1" s="155" t="s">
        <v>165</v>
      </c>
      <c r="B1" s="3" t="s">
        <v>169</v>
      </c>
      <c r="C1" s="156" t="s">
        <v>170</v>
      </c>
      <c r="D1" s="156" t="s">
        <v>171</v>
      </c>
      <c r="E1" s="157" t="s">
        <v>172</v>
      </c>
      <c r="F1" s="158" t="s">
        <v>173</v>
      </c>
      <c r="G1" s="156" t="s">
        <v>174</v>
      </c>
      <c r="H1" s="159" t="s">
        <v>175</v>
      </c>
      <c r="I1" s="160" t="s">
        <v>176</v>
      </c>
      <c r="J1" s="22" t="s">
        <v>177</v>
      </c>
      <c r="K1" s="22" t="s">
        <v>178</v>
      </c>
    </row>
    <row x14ac:dyDescent="0.25" r="2" customHeight="1" ht="17.25">
      <c r="A2" s="161" t="s">
        <v>74</v>
      </c>
      <c r="B2" s="162" t="s">
        <v>30</v>
      </c>
      <c r="C2" s="163">
        <v>8190</v>
      </c>
      <c r="D2" s="163">
        <v>21666</v>
      </c>
      <c r="E2" s="164">
        <v>-0.6219766954702532</v>
      </c>
      <c r="F2" s="163">
        <v>469253</v>
      </c>
      <c r="G2" s="163">
        <v>583586</v>
      </c>
      <c r="H2" s="164">
        <v>-0.2</v>
      </c>
      <c r="I2" s="163">
        <v>2046</v>
      </c>
      <c r="J2" s="117">
        <v>65000</v>
      </c>
      <c r="K2" s="117">
        <v>3550</v>
      </c>
    </row>
    <row x14ac:dyDescent="0.25" r="3" customHeight="1" ht="17.25">
      <c r="A3" s="165" t="s">
        <v>74</v>
      </c>
      <c r="B3" s="166" t="s">
        <v>179</v>
      </c>
      <c r="C3" s="167">
        <v>2294</v>
      </c>
      <c r="D3" s="167">
        <v>5000</v>
      </c>
      <c r="E3" s="168">
        <v>-0.5410333371480314</v>
      </c>
      <c r="F3" s="167">
        <v>179278</v>
      </c>
      <c r="G3" s="167">
        <v>151644</v>
      </c>
      <c r="H3" s="168">
        <v>0.18</v>
      </c>
      <c r="I3" s="167">
        <v>110</v>
      </c>
      <c r="J3" s="117">
        <v>15000</v>
      </c>
      <c r="K3" s="117">
        <v>794</v>
      </c>
    </row>
    <row x14ac:dyDescent="0.25" r="4" customHeight="1" ht="13.5">
      <c r="A4" s="165" t="s">
        <v>74</v>
      </c>
      <c r="B4" s="166" t="s">
        <v>33</v>
      </c>
      <c r="C4" s="167">
        <v>3891</v>
      </c>
      <c r="D4" s="167">
        <v>16666</v>
      </c>
      <c r="E4" s="168">
        <v>-0.7665253961181643</v>
      </c>
      <c r="F4" s="167">
        <v>329047</v>
      </c>
      <c r="G4" s="167">
        <v>363050</v>
      </c>
      <c r="H4" s="168">
        <v>-0.09</v>
      </c>
      <c r="I4" s="167">
        <v>103</v>
      </c>
      <c r="J4" s="117">
        <v>50000</v>
      </c>
      <c r="K4" s="117">
        <v>2881</v>
      </c>
    </row>
    <row x14ac:dyDescent="0.25" r="5" customHeight="1" ht="17.25">
      <c r="A5" s="165" t="s">
        <v>74</v>
      </c>
      <c r="B5" s="166" t="s">
        <v>180</v>
      </c>
      <c r="C5" s="167">
        <v>0</v>
      </c>
      <c r="D5" s="167">
        <v>0</v>
      </c>
      <c r="E5" s="168"/>
      <c r="F5" s="167">
        <v>1413</v>
      </c>
      <c r="G5" s="167">
        <v>9941</v>
      </c>
      <c r="H5" s="168">
        <v>-0.86</v>
      </c>
      <c r="I5" s="167">
        <v>0</v>
      </c>
      <c r="J5" s="117">
        <v>0</v>
      </c>
      <c r="K5" s="117">
        <v>0</v>
      </c>
    </row>
    <row x14ac:dyDescent="0.25" r="6" customHeight="1" ht="12.75">
      <c r="A6" s="165" t="s">
        <v>74</v>
      </c>
      <c r="B6" s="166" t="s">
        <v>181</v>
      </c>
      <c r="C6" s="167">
        <v>0</v>
      </c>
      <c r="D6" s="167">
        <v>0</v>
      </c>
      <c r="E6" s="168"/>
      <c r="F6" s="167">
        <v>123</v>
      </c>
      <c r="G6" s="167">
        <v>2057</v>
      </c>
      <c r="H6" s="168">
        <v>-0.94</v>
      </c>
      <c r="I6" s="167">
        <v>0</v>
      </c>
      <c r="J6" s="117">
        <v>0</v>
      </c>
      <c r="K6" s="117">
        <v>0</v>
      </c>
    </row>
    <row x14ac:dyDescent="0.25" r="7" customHeight="1" ht="17.25">
      <c r="A7" s="165" t="s">
        <v>74</v>
      </c>
      <c r="B7" s="166" t="s">
        <v>182</v>
      </c>
      <c r="C7" s="167">
        <v>0</v>
      </c>
      <c r="D7" s="167">
        <v>0</v>
      </c>
      <c r="E7" s="168"/>
      <c r="F7" s="167">
        <v>0</v>
      </c>
      <c r="G7" s="167">
        <v>488</v>
      </c>
      <c r="H7" s="168">
        <v>-1</v>
      </c>
      <c r="I7" s="167">
        <v>0</v>
      </c>
      <c r="J7" s="117">
        <v>0</v>
      </c>
      <c r="K7" s="117">
        <v>0</v>
      </c>
    </row>
    <row x14ac:dyDescent="0.25" r="8" customHeight="1" ht="17.25">
      <c r="A8" s="165" t="s">
        <v>74</v>
      </c>
      <c r="B8" s="166" t="s">
        <v>183</v>
      </c>
      <c r="C8" s="167">
        <v>0</v>
      </c>
      <c r="D8" s="167">
        <v>0</v>
      </c>
      <c r="E8" s="168"/>
      <c r="F8" s="167">
        <v>0</v>
      </c>
      <c r="G8" s="167">
        <v>0</v>
      </c>
      <c r="H8" s="168" t="s">
        <v>59</v>
      </c>
      <c r="I8" s="167">
        <v>0</v>
      </c>
      <c r="J8" s="117">
        <v>0</v>
      </c>
      <c r="K8" s="117">
        <v>0</v>
      </c>
    </row>
    <row x14ac:dyDescent="0.25" r="9" customHeight="1" ht="12.75">
      <c r="A9" s="169" t="s">
        <v>74</v>
      </c>
      <c r="B9" s="170" t="s">
        <v>184</v>
      </c>
      <c r="C9" s="171">
        <v>25056</v>
      </c>
      <c r="D9" s="171">
        <v>46666</v>
      </c>
      <c r="E9" s="172">
        <v>-0.4630736437500004</v>
      </c>
      <c r="F9" s="171">
        <v>1322389</v>
      </c>
      <c r="G9" s="171">
        <v>1464973</v>
      </c>
      <c r="H9" s="172">
        <v>-0.1</v>
      </c>
      <c r="I9" s="171">
        <v>3504</v>
      </c>
      <c r="J9" s="117">
        <v>140000</v>
      </c>
      <c r="K9" s="117">
        <v>7183</v>
      </c>
    </row>
    <row x14ac:dyDescent="0.25" r="10" customHeight="1" ht="14.25">
      <c r="A10" s="161" t="s">
        <v>76</v>
      </c>
      <c r="B10" s="162" t="s">
        <v>30</v>
      </c>
      <c r="C10" s="163">
        <v>4374</v>
      </c>
      <c r="D10" s="163">
        <v>0</v>
      </c>
      <c r="E10" s="164"/>
      <c r="F10" s="163">
        <v>9664</v>
      </c>
      <c r="G10" s="163">
        <v>2907</v>
      </c>
      <c r="H10" s="164">
        <v>2.32</v>
      </c>
      <c r="I10" s="163">
        <v>0</v>
      </c>
      <c r="J10" s="117">
        <v>0</v>
      </c>
      <c r="K10" s="117">
        <v>-273</v>
      </c>
    </row>
    <row x14ac:dyDescent="0.25" r="11" customHeight="1" ht="14.25">
      <c r="A11" s="165" t="s">
        <v>76</v>
      </c>
      <c r="B11" s="166" t="s">
        <v>179</v>
      </c>
      <c r="C11" s="167">
        <v>1075</v>
      </c>
      <c r="D11" s="167">
        <v>0</v>
      </c>
      <c r="E11" s="168"/>
      <c r="F11" s="167">
        <v>2975</v>
      </c>
      <c r="G11" s="167">
        <v>1800</v>
      </c>
      <c r="H11" s="168">
        <v>0.65</v>
      </c>
      <c r="I11" s="167">
        <v>0</v>
      </c>
      <c r="J11" s="117">
        <v>0</v>
      </c>
      <c r="K11" s="117">
        <v>-67</v>
      </c>
    </row>
    <row x14ac:dyDescent="0.25" r="12" customHeight="1" ht="14.25">
      <c r="A12" s="165" t="s">
        <v>76</v>
      </c>
      <c r="B12" s="166" t="s">
        <v>33</v>
      </c>
      <c r="C12" s="167">
        <v>2504</v>
      </c>
      <c r="D12" s="167">
        <v>0</v>
      </c>
      <c r="E12" s="168"/>
      <c r="F12" s="167">
        <v>4503</v>
      </c>
      <c r="G12" s="167">
        <v>1977</v>
      </c>
      <c r="H12" s="168">
        <v>1.28</v>
      </c>
      <c r="I12" s="167">
        <v>0</v>
      </c>
      <c r="J12" s="117">
        <v>0</v>
      </c>
      <c r="K12" s="117">
        <v>-156</v>
      </c>
    </row>
    <row x14ac:dyDescent="0.25" r="13" customHeight="1" ht="14.25">
      <c r="A13" s="165" t="s">
        <v>76</v>
      </c>
      <c r="B13" s="166" t="s">
        <v>180</v>
      </c>
      <c r="C13" s="167">
        <v>18049</v>
      </c>
      <c r="D13" s="167">
        <v>18333</v>
      </c>
      <c r="E13" s="168">
        <v>-0.0154632659565328</v>
      </c>
      <c r="F13" s="167">
        <v>438161</v>
      </c>
      <c r="G13" s="167">
        <v>459717</v>
      </c>
      <c r="H13" s="168">
        <v>-0.05</v>
      </c>
      <c r="I13" s="167">
        <v>2363</v>
      </c>
      <c r="J13" s="117">
        <v>54999</v>
      </c>
      <c r="K13" s="117">
        <v>2309</v>
      </c>
    </row>
    <row x14ac:dyDescent="0.25" r="14" customHeight="1" ht="14.25">
      <c r="A14" s="165" t="s">
        <v>76</v>
      </c>
      <c r="B14" s="166" t="s">
        <v>181</v>
      </c>
      <c r="C14" s="167">
        <v>5899</v>
      </c>
      <c r="D14" s="167">
        <v>7666</v>
      </c>
      <c r="E14" s="168">
        <v>-0.2305367263701068</v>
      </c>
      <c r="F14" s="167">
        <v>141256</v>
      </c>
      <c r="G14" s="167">
        <v>165966</v>
      </c>
      <c r="H14" s="168">
        <v>-0.15</v>
      </c>
      <c r="I14" s="167">
        <v>282</v>
      </c>
      <c r="J14" s="117">
        <v>23000</v>
      </c>
      <c r="K14" s="117">
        <v>1068</v>
      </c>
    </row>
    <row x14ac:dyDescent="0.25" r="15" customHeight="1" ht="14.25">
      <c r="A15" s="165" t="s">
        <v>76</v>
      </c>
      <c r="B15" s="166" t="s">
        <v>182</v>
      </c>
      <c r="C15" s="167">
        <v>10035</v>
      </c>
      <c r="D15" s="167">
        <v>6666</v>
      </c>
      <c r="E15" s="168">
        <v>0.5053572935768129</v>
      </c>
      <c r="F15" s="167">
        <v>113990</v>
      </c>
      <c r="G15" s="167">
        <v>143521</v>
      </c>
      <c r="H15" s="168">
        <v>-0.21</v>
      </c>
      <c r="I15" s="167">
        <v>1301</v>
      </c>
      <c r="J15" s="117">
        <v>20000</v>
      </c>
      <c r="K15" s="117">
        <v>622</v>
      </c>
    </row>
    <row x14ac:dyDescent="0.25" r="16" customHeight="1" ht="14.25">
      <c r="A16" s="165" t="s">
        <v>76</v>
      </c>
      <c r="B16" s="166" t="s">
        <v>183</v>
      </c>
      <c r="C16" s="167">
        <v>0</v>
      </c>
      <c r="D16" s="167">
        <v>0</v>
      </c>
      <c r="E16" s="168"/>
      <c r="F16" s="167">
        <v>0</v>
      </c>
      <c r="G16" s="167">
        <v>0</v>
      </c>
      <c r="H16" s="168" t="s">
        <v>59</v>
      </c>
      <c r="I16" s="167">
        <v>0</v>
      </c>
      <c r="J16" s="117">
        <v>0</v>
      </c>
      <c r="K16" s="117">
        <v>0</v>
      </c>
    </row>
    <row x14ac:dyDescent="0.25" r="17" customHeight="1" ht="14.25">
      <c r="A17" s="169" t="s">
        <v>76</v>
      </c>
      <c r="B17" s="170" t="s">
        <v>184</v>
      </c>
      <c r="C17" s="171">
        <v>66498</v>
      </c>
      <c r="D17" s="171">
        <v>48333</v>
      </c>
      <c r="E17" s="172">
        <v>0.3758335931034493</v>
      </c>
      <c r="F17" s="171">
        <v>1258584</v>
      </c>
      <c r="G17" s="171">
        <v>1411577</v>
      </c>
      <c r="H17" s="172">
        <v>-0.11</v>
      </c>
      <c r="I17" s="171">
        <v>7525</v>
      </c>
      <c r="J17" s="117">
        <v>144999</v>
      </c>
      <c r="K17" s="117">
        <v>4906</v>
      </c>
    </row>
    <row x14ac:dyDescent="0.25" r="18" customHeight="1" ht="14.25">
      <c r="A18" s="161" t="s">
        <v>79</v>
      </c>
      <c r="B18" s="162" t="s">
        <v>30</v>
      </c>
      <c r="C18" s="163">
        <v>23137</v>
      </c>
      <c r="D18" s="163">
        <v>21666</v>
      </c>
      <c r="E18" s="164">
        <v>0.06787200817682892</v>
      </c>
      <c r="F18" s="163">
        <v>522699</v>
      </c>
      <c r="G18" s="163">
        <v>564210</v>
      </c>
      <c r="H18" s="164">
        <v>-0.07</v>
      </c>
      <c r="I18" s="163">
        <v>3394</v>
      </c>
      <c r="J18" s="117">
        <v>65000</v>
      </c>
      <c r="K18" s="117">
        <v>2616</v>
      </c>
    </row>
    <row x14ac:dyDescent="0.25" r="19" customHeight="1" ht="14.25">
      <c r="A19" s="165" t="s">
        <v>79</v>
      </c>
      <c r="B19" s="166" t="s">
        <v>179</v>
      </c>
      <c r="C19" s="167">
        <v>5330</v>
      </c>
      <c r="D19" s="167">
        <v>7666</v>
      </c>
      <c r="E19" s="168">
        <v>-0.3046965123052185</v>
      </c>
      <c r="F19" s="167">
        <v>247915</v>
      </c>
      <c r="G19" s="167">
        <v>236531</v>
      </c>
      <c r="H19" s="168">
        <v>0.05</v>
      </c>
      <c r="I19" s="167">
        <v>913</v>
      </c>
      <c r="J19" s="117">
        <v>23000</v>
      </c>
      <c r="K19" s="117">
        <v>1104</v>
      </c>
    </row>
    <row x14ac:dyDescent="0.25" r="20" customHeight="1" ht="14.25">
      <c r="A20" s="165" t="s">
        <v>79</v>
      </c>
      <c r="B20" s="166" t="s">
        <v>33</v>
      </c>
      <c r="C20" s="167">
        <v>15874</v>
      </c>
      <c r="D20" s="167">
        <v>22000</v>
      </c>
      <c r="E20" s="168">
        <v>-0.2784292310078923</v>
      </c>
      <c r="F20" s="167">
        <v>277896</v>
      </c>
      <c r="G20" s="167">
        <v>510850</v>
      </c>
      <c r="H20" s="168">
        <v>-0.46</v>
      </c>
      <c r="I20" s="167">
        <v>1534</v>
      </c>
      <c r="J20" s="117">
        <v>66000</v>
      </c>
      <c r="K20" s="117">
        <v>3132</v>
      </c>
    </row>
    <row x14ac:dyDescent="0.25" r="21" customHeight="1" ht="14.25">
      <c r="A21" s="165" t="s">
        <v>79</v>
      </c>
      <c r="B21" s="166" t="s">
        <v>180</v>
      </c>
      <c r="C21" s="167">
        <v>0</v>
      </c>
      <c r="D21" s="167">
        <v>0</v>
      </c>
      <c r="E21" s="168"/>
      <c r="F21" s="167">
        <v>43923</v>
      </c>
      <c r="G21" s="167">
        <v>8233</v>
      </c>
      <c r="H21" s="168">
        <v>4.33</v>
      </c>
      <c r="I21" s="167">
        <v>0</v>
      </c>
      <c r="J21" s="117">
        <v>0</v>
      </c>
      <c r="K21" s="117">
        <v>0</v>
      </c>
    </row>
    <row x14ac:dyDescent="0.25" r="22" customHeight="1" ht="14.25">
      <c r="A22" s="165" t="s">
        <v>79</v>
      </c>
      <c r="B22" s="166" t="s">
        <v>181</v>
      </c>
      <c r="C22" s="167">
        <v>0</v>
      </c>
      <c r="D22" s="167">
        <v>0</v>
      </c>
      <c r="E22" s="168"/>
      <c r="F22" s="167">
        <v>11537</v>
      </c>
      <c r="G22" s="167">
        <v>2699</v>
      </c>
      <c r="H22" s="168">
        <v>3.27</v>
      </c>
      <c r="I22" s="167">
        <v>0</v>
      </c>
      <c r="J22" s="117">
        <v>0</v>
      </c>
      <c r="K22" s="117">
        <v>0</v>
      </c>
    </row>
    <row x14ac:dyDescent="0.25" r="23" customHeight="1" ht="14.25">
      <c r="A23" s="165" t="s">
        <v>79</v>
      </c>
      <c r="B23" s="166" t="s">
        <v>182</v>
      </c>
      <c r="C23" s="167">
        <v>0</v>
      </c>
      <c r="D23" s="167">
        <v>0</v>
      </c>
      <c r="E23" s="168"/>
      <c r="F23" s="167">
        <v>5836</v>
      </c>
      <c r="G23" s="167">
        <v>240</v>
      </c>
      <c r="H23" s="168" t="s">
        <v>185</v>
      </c>
      <c r="I23" s="167">
        <v>0</v>
      </c>
      <c r="J23" s="117">
        <v>0</v>
      </c>
      <c r="K23" s="117">
        <v>0</v>
      </c>
    </row>
    <row x14ac:dyDescent="0.25" r="24" customHeight="1" ht="14.25">
      <c r="A24" s="165" t="s">
        <v>79</v>
      </c>
      <c r="B24" s="166" t="s">
        <v>183</v>
      </c>
      <c r="C24" s="167">
        <v>0</v>
      </c>
      <c r="D24" s="167">
        <v>0</v>
      </c>
      <c r="E24" s="168"/>
      <c r="F24" s="167">
        <v>0</v>
      </c>
      <c r="G24" s="167">
        <v>0</v>
      </c>
      <c r="H24" s="168" t="s">
        <v>59</v>
      </c>
      <c r="I24" s="167">
        <v>0</v>
      </c>
      <c r="J24" s="117">
        <v>0</v>
      </c>
      <c r="K24" s="117">
        <v>0</v>
      </c>
    </row>
    <row x14ac:dyDescent="0.25" r="25" customHeight="1" ht="14.25">
      <c r="A25" s="169" t="s">
        <v>79</v>
      </c>
      <c r="B25" s="170" t="s">
        <v>184</v>
      </c>
      <c r="C25" s="171">
        <v>59149</v>
      </c>
      <c r="D25" s="171">
        <v>56666</v>
      </c>
      <c r="E25" s="172">
        <v>0.04380981838235232</v>
      </c>
      <c r="F25" s="171">
        <v>1485507</v>
      </c>
      <c r="G25" s="171">
        <v>1718493</v>
      </c>
      <c r="H25" s="172">
        <v>-0.14</v>
      </c>
      <c r="I25" s="171">
        <v>9433</v>
      </c>
      <c r="J25" s="117">
        <v>170000</v>
      </c>
      <c r="K25" s="117">
        <v>6928</v>
      </c>
    </row>
    <row x14ac:dyDescent="0.25" r="26" customHeight="1" ht="14.25">
      <c r="A26" s="161" t="s">
        <v>82</v>
      </c>
      <c r="B26" s="162" t="s">
        <v>30</v>
      </c>
      <c r="C26" s="163">
        <v>0</v>
      </c>
      <c r="D26" s="163">
        <v>0</v>
      </c>
      <c r="E26" s="164"/>
      <c r="F26" s="163">
        <v>46055</v>
      </c>
      <c r="G26" s="163">
        <v>10985</v>
      </c>
      <c r="H26" s="164">
        <v>3.19</v>
      </c>
      <c r="I26" s="163">
        <v>0</v>
      </c>
      <c r="J26" s="117">
        <v>0</v>
      </c>
      <c r="K26" s="117">
        <v>0</v>
      </c>
    </row>
    <row x14ac:dyDescent="0.25" r="27" customHeight="1" ht="14.25">
      <c r="A27" s="165" t="s">
        <v>82</v>
      </c>
      <c r="B27" s="166" t="s">
        <v>179</v>
      </c>
      <c r="C27" s="167">
        <v>0</v>
      </c>
      <c r="D27" s="167">
        <v>0</v>
      </c>
      <c r="E27" s="168"/>
      <c r="F27" s="167">
        <v>28774</v>
      </c>
      <c r="G27" s="167">
        <v>3706</v>
      </c>
      <c r="H27" s="168">
        <v>6.76</v>
      </c>
      <c r="I27" s="167">
        <v>0</v>
      </c>
      <c r="J27" s="117">
        <v>0</v>
      </c>
      <c r="K27" s="117">
        <v>0</v>
      </c>
    </row>
    <row x14ac:dyDescent="0.25" r="28" customHeight="1" ht="14.25">
      <c r="A28" s="165" t="s">
        <v>82</v>
      </c>
      <c r="B28" s="166" t="s">
        <v>33</v>
      </c>
      <c r="C28" s="167">
        <v>0</v>
      </c>
      <c r="D28" s="167">
        <v>0</v>
      </c>
      <c r="E28" s="168"/>
      <c r="F28" s="167">
        <v>20076</v>
      </c>
      <c r="G28" s="167">
        <v>1359</v>
      </c>
      <c r="H28" s="168" t="s">
        <v>186</v>
      </c>
      <c r="I28" s="167">
        <v>0</v>
      </c>
      <c r="J28" s="117">
        <v>0</v>
      </c>
      <c r="K28" s="117">
        <v>0</v>
      </c>
    </row>
    <row x14ac:dyDescent="0.25" r="29" customHeight="1" ht="14.25">
      <c r="A29" s="165" t="s">
        <v>82</v>
      </c>
      <c r="B29" s="166" t="s">
        <v>180</v>
      </c>
      <c r="C29" s="167">
        <v>19630</v>
      </c>
      <c r="D29" s="167">
        <v>24333</v>
      </c>
      <c r="E29" s="168">
        <v>-0.1932651295335319</v>
      </c>
      <c r="F29" s="167">
        <v>581792</v>
      </c>
      <c r="G29" s="167">
        <v>650763</v>
      </c>
      <c r="H29" s="168">
        <v>-0.11</v>
      </c>
      <c r="I29" s="167">
        <v>3495</v>
      </c>
      <c r="J29" s="117">
        <v>72999</v>
      </c>
      <c r="K29" s="117">
        <v>3335</v>
      </c>
    </row>
    <row x14ac:dyDescent="0.25" r="30" customHeight="1" ht="14.25">
      <c r="A30" s="165" t="s">
        <v>82</v>
      </c>
      <c r="B30" s="166" t="s">
        <v>181</v>
      </c>
      <c r="C30" s="167">
        <v>6369</v>
      </c>
      <c r="D30" s="167">
        <v>9333</v>
      </c>
      <c r="E30" s="168">
        <v>-0.3175057227952137</v>
      </c>
      <c r="F30" s="167">
        <v>199350</v>
      </c>
      <c r="G30" s="167">
        <v>214188</v>
      </c>
      <c r="H30" s="168">
        <v>-0.07</v>
      </c>
      <c r="I30" s="167">
        <v>1439</v>
      </c>
      <c r="J30" s="117">
        <v>27999</v>
      </c>
      <c r="K30" s="117">
        <v>1351</v>
      </c>
    </row>
    <row x14ac:dyDescent="0.25" r="31" customHeight="1" ht="14.25">
      <c r="A31" s="165" t="s">
        <v>82</v>
      </c>
      <c r="B31" s="166" t="s">
        <v>182</v>
      </c>
      <c r="C31" s="167">
        <v>9204</v>
      </c>
      <c r="D31" s="167">
        <v>10000</v>
      </c>
      <c r="E31" s="168">
        <v>-0.07955698229980501</v>
      </c>
      <c r="F31" s="167">
        <v>123861</v>
      </c>
      <c r="G31" s="167">
        <v>130716</v>
      </c>
      <c r="H31" s="168">
        <v>-0.05</v>
      </c>
      <c r="I31" s="167">
        <v>228</v>
      </c>
      <c r="J31" s="117">
        <v>30000</v>
      </c>
      <c r="K31" s="117">
        <v>1299</v>
      </c>
    </row>
    <row x14ac:dyDescent="0.25" r="32" customHeight="1" ht="14.25">
      <c r="A32" s="165" t="s">
        <v>82</v>
      </c>
      <c r="B32" s="166" t="s">
        <v>183</v>
      </c>
      <c r="C32" s="167">
        <v>0</v>
      </c>
      <c r="D32" s="167">
        <v>0</v>
      </c>
      <c r="E32" s="168"/>
      <c r="F32" s="167">
        <v>0</v>
      </c>
      <c r="G32" s="167">
        <v>0</v>
      </c>
      <c r="H32" s="168" t="s">
        <v>59</v>
      </c>
      <c r="I32" s="167">
        <v>0</v>
      </c>
      <c r="J32" s="117">
        <v>0</v>
      </c>
      <c r="K32" s="117">
        <v>0</v>
      </c>
    </row>
    <row x14ac:dyDescent="0.25" r="33" customHeight="1" ht="14.25">
      <c r="A33" s="169" t="s">
        <v>82</v>
      </c>
      <c r="B33" s="170" t="s">
        <v>184</v>
      </c>
      <c r="C33" s="171">
        <v>58159</v>
      </c>
      <c r="D33" s="171">
        <v>62666</v>
      </c>
      <c r="E33" s="172">
        <v>-0.07192470744680912</v>
      </c>
      <c r="F33" s="171">
        <v>1559978</v>
      </c>
      <c r="G33" s="171">
        <v>1723251</v>
      </c>
      <c r="H33" s="172">
        <v>-0.09</v>
      </c>
      <c r="I33" s="171">
        <v>7928</v>
      </c>
      <c r="J33" s="117">
        <v>188000</v>
      </c>
      <c r="K33" s="117">
        <v>8115</v>
      </c>
    </row>
    <row x14ac:dyDescent="0.25" r="34" customHeight="1" ht="14.25">
      <c r="A34" s="161" t="s">
        <v>86</v>
      </c>
      <c r="B34" s="162" t="s">
        <v>30</v>
      </c>
      <c r="C34" s="163">
        <v>13365</v>
      </c>
      <c r="D34" s="163">
        <v>10000</v>
      </c>
      <c r="E34" s="164">
        <v>0.3365670043945299</v>
      </c>
      <c r="F34" s="163">
        <v>329670</v>
      </c>
      <c r="G34" s="163">
        <v>350863</v>
      </c>
      <c r="H34" s="164">
        <v>-0.06</v>
      </c>
      <c r="I34" s="163">
        <v>0</v>
      </c>
      <c r="J34" s="117">
        <v>30000</v>
      </c>
      <c r="K34" s="117">
        <v>1039</v>
      </c>
    </row>
    <row x14ac:dyDescent="0.25" r="35" customHeight="1" ht="14.25">
      <c r="A35" s="165" t="s">
        <v>86</v>
      </c>
      <c r="B35" s="166" t="s">
        <v>179</v>
      </c>
      <c r="C35" s="167">
        <v>2804</v>
      </c>
      <c r="D35" s="167">
        <v>4000</v>
      </c>
      <c r="E35" s="168">
        <v>-0.298962505340575</v>
      </c>
      <c r="F35" s="167">
        <v>180184</v>
      </c>
      <c r="G35" s="167">
        <v>153735</v>
      </c>
      <c r="H35" s="168">
        <v>0.17</v>
      </c>
      <c r="I35" s="167">
        <v>0</v>
      </c>
      <c r="J35" s="117">
        <v>12000</v>
      </c>
      <c r="K35" s="117">
        <v>574</v>
      </c>
    </row>
    <row x14ac:dyDescent="0.25" r="36" customHeight="1" ht="14.25">
      <c r="A36" s="165" t="s">
        <v>86</v>
      </c>
      <c r="B36" s="166" t="s">
        <v>33</v>
      </c>
      <c r="C36" s="167">
        <v>1699</v>
      </c>
      <c r="D36" s="167">
        <v>8666</v>
      </c>
      <c r="E36" s="168">
        <v>-0.8039430720989524</v>
      </c>
      <c r="F36" s="167">
        <v>368089</v>
      </c>
      <c r="G36" s="167">
        <v>346571</v>
      </c>
      <c r="H36" s="168">
        <v>0.06</v>
      </c>
      <c r="I36" s="167">
        <v>0</v>
      </c>
      <c r="J36" s="117">
        <v>26000</v>
      </c>
      <c r="K36" s="117">
        <v>1518</v>
      </c>
    </row>
    <row x14ac:dyDescent="0.25" r="37" customHeight="1" ht="14.25">
      <c r="A37" s="165" t="s">
        <v>86</v>
      </c>
      <c r="B37" s="166" t="s">
        <v>180</v>
      </c>
      <c r="C37" s="167">
        <v>11228</v>
      </c>
      <c r="D37" s="167">
        <v>11666</v>
      </c>
      <c r="E37" s="168">
        <v>-0.0375597217832313</v>
      </c>
      <c r="F37" s="167">
        <v>365435</v>
      </c>
      <c r="G37" s="167">
        <v>330086</v>
      </c>
      <c r="H37" s="168">
        <v>0.11</v>
      </c>
      <c r="I37" s="167">
        <v>0</v>
      </c>
      <c r="J37" s="117">
        <v>35000</v>
      </c>
      <c r="K37" s="117">
        <v>1485</v>
      </c>
    </row>
    <row x14ac:dyDescent="0.25" r="38" customHeight="1" ht="14.25">
      <c r="A38" s="165" t="s">
        <v>86</v>
      </c>
      <c r="B38" s="166" t="s">
        <v>181</v>
      </c>
      <c r="C38" s="167">
        <v>2639</v>
      </c>
      <c r="D38" s="167">
        <v>5000</v>
      </c>
      <c r="E38" s="168">
        <v>-0.47216000366211</v>
      </c>
      <c r="F38" s="167">
        <v>160888</v>
      </c>
      <c r="G38" s="167">
        <v>141105</v>
      </c>
      <c r="H38" s="168">
        <v>0.14</v>
      </c>
      <c r="I38" s="167">
        <v>0</v>
      </c>
      <c r="J38" s="117">
        <v>15000</v>
      </c>
      <c r="K38" s="117">
        <v>772</v>
      </c>
    </row>
    <row x14ac:dyDescent="0.25" r="39" customHeight="1" ht="14.25">
      <c r="A39" s="165" t="s">
        <v>86</v>
      </c>
      <c r="B39" s="166" t="s">
        <v>182</v>
      </c>
      <c r="C39" s="167">
        <v>3289</v>
      </c>
      <c r="D39" s="167">
        <v>4000</v>
      </c>
      <c r="E39" s="168">
        <v>-0.1775325241088875</v>
      </c>
      <c r="F39" s="167">
        <v>80749</v>
      </c>
      <c r="G39" s="167">
        <v>77510</v>
      </c>
      <c r="H39" s="168">
        <v>0.04</v>
      </c>
      <c r="I39" s="167">
        <v>0</v>
      </c>
      <c r="J39" s="117">
        <v>12000</v>
      </c>
      <c r="K39" s="117">
        <v>544</v>
      </c>
    </row>
    <row x14ac:dyDescent="0.25" r="40" customHeight="1" ht="14.25">
      <c r="A40" s="165" t="s">
        <v>86</v>
      </c>
      <c r="B40" s="166" t="s">
        <v>183</v>
      </c>
      <c r="C40" s="167">
        <v>0</v>
      </c>
      <c r="D40" s="167">
        <v>0</v>
      </c>
      <c r="E40" s="168"/>
      <c r="F40" s="167">
        <v>0</v>
      </c>
      <c r="G40" s="167">
        <v>0</v>
      </c>
      <c r="H40" s="168" t="s">
        <v>59</v>
      </c>
      <c r="I40" s="167">
        <v>0</v>
      </c>
      <c r="J40" s="117">
        <v>0</v>
      </c>
      <c r="K40" s="117">
        <v>0</v>
      </c>
    </row>
    <row x14ac:dyDescent="0.25" r="41" customHeight="1" ht="14.25">
      <c r="A41" s="169" t="s">
        <v>86</v>
      </c>
      <c r="B41" s="170" t="s">
        <v>184</v>
      </c>
      <c r="C41" s="171">
        <v>50386</v>
      </c>
      <c r="D41" s="171">
        <v>60000</v>
      </c>
      <c r="E41" s="172">
        <v>-0.1602169999999999</v>
      </c>
      <c r="F41" s="171">
        <v>2047072</v>
      </c>
      <c r="G41" s="171">
        <v>1954266</v>
      </c>
      <c r="H41" s="172">
        <v>0.05</v>
      </c>
      <c r="I41" s="171">
        <v>0</v>
      </c>
      <c r="J41" s="117">
        <v>180000</v>
      </c>
      <c r="K41" s="117">
        <v>8100</v>
      </c>
    </row>
    <row x14ac:dyDescent="0.25" r="42" customHeight="1" ht="14.25">
      <c r="A42" s="161" t="s">
        <v>89</v>
      </c>
      <c r="B42" s="162" t="s">
        <v>30</v>
      </c>
      <c r="C42" s="163">
        <v>16462</v>
      </c>
      <c r="D42" s="163">
        <v>20000</v>
      </c>
      <c r="E42" s="164">
        <v>-0.17686198120117</v>
      </c>
      <c r="F42" s="163">
        <v>546321</v>
      </c>
      <c r="G42" s="163">
        <v>0</v>
      </c>
      <c r="H42" s="164" t="s">
        <v>59</v>
      </c>
      <c r="I42" s="163">
        <v>0</v>
      </c>
      <c r="J42" s="117">
        <v>60000</v>
      </c>
      <c r="K42" s="117">
        <v>2721</v>
      </c>
    </row>
    <row x14ac:dyDescent="0.25" r="43" customHeight="1" ht="14.25">
      <c r="A43" s="165" t="s">
        <v>89</v>
      </c>
      <c r="B43" s="166" t="s">
        <v>179</v>
      </c>
      <c r="C43" s="167">
        <v>8170</v>
      </c>
      <c r="D43" s="167">
        <v>9333</v>
      </c>
      <c r="E43" s="168">
        <v>-0.1246396321569172</v>
      </c>
      <c r="F43" s="167">
        <v>245516</v>
      </c>
      <c r="G43" s="167">
        <v>0</v>
      </c>
      <c r="H43" s="168" t="s">
        <v>59</v>
      </c>
      <c r="I43" s="167">
        <v>0</v>
      </c>
      <c r="J43" s="117">
        <v>27999</v>
      </c>
      <c r="K43" s="117">
        <v>1239</v>
      </c>
    </row>
    <row x14ac:dyDescent="0.25" r="44" customHeight="1" ht="14.25">
      <c r="A44" s="165" t="s">
        <v>89</v>
      </c>
      <c r="B44" s="166" t="s">
        <v>33</v>
      </c>
      <c r="C44" s="167">
        <v>-1050</v>
      </c>
      <c r="D44" s="167">
        <v>7333</v>
      </c>
      <c r="E44" s="168">
        <v>-1.143252726814964</v>
      </c>
      <c r="F44" s="167">
        <v>382199</v>
      </c>
      <c r="G44" s="167">
        <v>0</v>
      </c>
      <c r="H44" s="168" t="s">
        <v>59</v>
      </c>
      <c r="I44" s="167">
        <v>0</v>
      </c>
      <c r="J44" s="117">
        <v>21999</v>
      </c>
      <c r="K44" s="117">
        <v>1440</v>
      </c>
    </row>
    <row x14ac:dyDescent="0.25" r="45" customHeight="1" ht="14.25">
      <c r="A45" s="165" t="s">
        <v>89</v>
      </c>
      <c r="B45" s="166" t="s">
        <v>180</v>
      </c>
      <c r="C45" s="167">
        <v>22213</v>
      </c>
      <c r="D45" s="167">
        <v>19000</v>
      </c>
      <c r="E45" s="168">
        <v>0.1691173688988947</v>
      </c>
      <c r="F45" s="167">
        <v>521620</v>
      </c>
      <c r="G45" s="167">
        <v>0</v>
      </c>
      <c r="H45" s="168" t="s">
        <v>59</v>
      </c>
      <c r="I45" s="167">
        <v>0</v>
      </c>
      <c r="J45" s="117">
        <v>57000</v>
      </c>
      <c r="K45" s="117">
        <v>2174</v>
      </c>
    </row>
    <row x14ac:dyDescent="0.25" r="46" customHeight="1" ht="14.25">
      <c r="A46" s="165" t="s">
        <v>89</v>
      </c>
      <c r="B46" s="166" t="s">
        <v>181</v>
      </c>
      <c r="C46" s="167">
        <v>9382</v>
      </c>
      <c r="D46" s="167">
        <v>7333</v>
      </c>
      <c r="E46" s="168">
        <v>0.2794263440045457</v>
      </c>
      <c r="F46" s="167">
        <v>206221</v>
      </c>
      <c r="G46" s="167">
        <v>0</v>
      </c>
      <c r="H46" s="168" t="s">
        <v>59</v>
      </c>
      <c r="I46" s="167">
        <v>0</v>
      </c>
      <c r="J46" s="117">
        <v>21999</v>
      </c>
      <c r="K46" s="117">
        <v>788</v>
      </c>
    </row>
    <row x14ac:dyDescent="0.25" r="47" customHeight="1" ht="14.25">
      <c r="A47" s="165" t="s">
        <v>89</v>
      </c>
      <c r="B47" s="166" t="s">
        <v>182</v>
      </c>
      <c r="C47" s="167">
        <v>19850</v>
      </c>
      <c r="D47" s="167">
        <v>10666</v>
      </c>
      <c r="E47" s="168">
        <v>0.8609927864074658</v>
      </c>
      <c r="F47" s="167">
        <v>187817</v>
      </c>
      <c r="G47" s="167">
        <v>0</v>
      </c>
      <c r="H47" s="168" t="s">
        <v>59</v>
      </c>
      <c r="I47" s="167">
        <v>0</v>
      </c>
      <c r="J47" s="117">
        <v>32000</v>
      </c>
      <c r="K47" s="117">
        <v>759</v>
      </c>
    </row>
    <row x14ac:dyDescent="0.25" r="48" customHeight="1" ht="14.25">
      <c r="A48" s="165" t="s">
        <v>89</v>
      </c>
      <c r="B48" s="166" t="s">
        <v>183</v>
      </c>
      <c r="C48" s="167">
        <v>0</v>
      </c>
      <c r="D48" s="167">
        <v>0</v>
      </c>
      <c r="E48" s="168"/>
      <c r="F48" s="167">
        <v>0</v>
      </c>
      <c r="G48" s="167">
        <v>0</v>
      </c>
      <c r="H48" s="168" t="s">
        <v>59</v>
      </c>
      <c r="I48" s="167">
        <v>0</v>
      </c>
      <c r="J48" s="117">
        <v>0</v>
      </c>
      <c r="K48" s="117">
        <v>0</v>
      </c>
    </row>
    <row x14ac:dyDescent="0.25" r="49" customHeight="1" ht="14.25">
      <c r="A49" s="169" t="s">
        <v>89</v>
      </c>
      <c r="B49" s="170" t="s">
        <v>184</v>
      </c>
      <c r="C49" s="171">
        <v>107883</v>
      </c>
      <c r="D49" s="171">
        <v>90000</v>
      </c>
      <c r="E49" s="172">
        <v>0.1987062222222222</v>
      </c>
      <c r="F49" s="171">
        <v>2713066</v>
      </c>
      <c r="G49" s="171">
        <v>0</v>
      </c>
      <c r="H49" s="172" t="s">
        <v>59</v>
      </c>
      <c r="I49" s="171">
        <v>0</v>
      </c>
      <c r="J49" s="117">
        <v>270000</v>
      </c>
      <c r="K49" s="117">
        <v>10132</v>
      </c>
    </row>
    <row x14ac:dyDescent="0.25" r="50" customHeight="1" ht="14.25">
      <c r="A50" s="161" t="s">
        <v>91</v>
      </c>
      <c r="B50" s="162" t="s">
        <v>30</v>
      </c>
      <c r="C50" s="163">
        <v>9984</v>
      </c>
      <c r="D50" s="163">
        <v>12000</v>
      </c>
      <c r="E50" s="164">
        <v>-0.1679589640808108</v>
      </c>
      <c r="F50" s="163">
        <v>392847</v>
      </c>
      <c r="G50" s="163">
        <v>582829</v>
      </c>
      <c r="H50" s="164">
        <v>-0.33</v>
      </c>
      <c r="I50" s="163">
        <v>763</v>
      </c>
      <c r="J50" s="117">
        <v>36000</v>
      </c>
      <c r="K50" s="117">
        <v>1625</v>
      </c>
    </row>
    <row x14ac:dyDescent="0.25" r="51" customHeight="1" ht="14.25">
      <c r="A51" s="165" t="s">
        <v>91</v>
      </c>
      <c r="B51" s="166" t="s">
        <v>179</v>
      </c>
      <c r="C51" s="167">
        <v>2571</v>
      </c>
      <c r="D51" s="167">
        <v>4000</v>
      </c>
      <c r="E51" s="168">
        <v>-0.3570200014114375</v>
      </c>
      <c r="F51" s="167">
        <v>182767</v>
      </c>
      <c r="G51" s="167">
        <v>269782</v>
      </c>
      <c r="H51" s="168">
        <v>-0.32</v>
      </c>
      <c r="I51" s="167">
        <v>280</v>
      </c>
      <c r="J51" s="117">
        <v>12000</v>
      </c>
      <c r="K51" s="117">
        <v>589</v>
      </c>
    </row>
    <row x14ac:dyDescent="0.25" r="52" customHeight="1" ht="14.25">
      <c r="A52" s="165" t="s">
        <v>91</v>
      </c>
      <c r="B52" s="166" t="s">
        <v>33</v>
      </c>
      <c r="C52" s="167">
        <v>6729</v>
      </c>
      <c r="D52" s="167">
        <v>10000</v>
      </c>
      <c r="E52" s="168">
        <v>-0.3270513175328573</v>
      </c>
      <c r="F52" s="167">
        <v>234201</v>
      </c>
      <c r="G52" s="167">
        <v>358756</v>
      </c>
      <c r="H52" s="168">
        <v>-0.35</v>
      </c>
      <c r="I52" s="167">
        <v>578</v>
      </c>
      <c r="J52" s="117">
        <v>30000</v>
      </c>
      <c r="K52" s="117">
        <v>1454</v>
      </c>
    </row>
    <row x14ac:dyDescent="0.25" r="53" customHeight="1" ht="14.25">
      <c r="A53" s="165" t="s">
        <v>91</v>
      </c>
      <c r="B53" s="166" t="s">
        <v>180</v>
      </c>
      <c r="C53" s="167">
        <v>11729</v>
      </c>
      <c r="D53" s="167">
        <v>11000</v>
      </c>
      <c r="E53" s="168">
        <v>0.06631832475373356</v>
      </c>
      <c r="F53" s="167">
        <v>365071</v>
      </c>
      <c r="G53" s="167">
        <v>555770</v>
      </c>
      <c r="H53" s="168">
        <v>-0.34</v>
      </c>
      <c r="I53" s="167">
        <v>1358</v>
      </c>
      <c r="J53" s="117">
        <v>33000</v>
      </c>
      <c r="K53" s="117">
        <v>1329</v>
      </c>
    </row>
    <row x14ac:dyDescent="0.25" r="54" customHeight="1" ht="14.25">
      <c r="A54" s="165" t="s">
        <v>91</v>
      </c>
      <c r="B54" s="166" t="s">
        <v>181</v>
      </c>
      <c r="C54" s="167">
        <v>6622</v>
      </c>
      <c r="D54" s="167">
        <v>4000</v>
      </c>
      <c r="E54" s="168">
        <v>0.655607527895609</v>
      </c>
      <c r="F54" s="167">
        <v>134478</v>
      </c>
      <c r="G54" s="167">
        <v>250377</v>
      </c>
      <c r="H54" s="168">
        <v>-0.46</v>
      </c>
      <c r="I54" s="167">
        <v>757</v>
      </c>
      <c r="J54" s="117">
        <v>12000</v>
      </c>
      <c r="K54" s="117">
        <v>336</v>
      </c>
    </row>
    <row x14ac:dyDescent="0.25" r="55" customHeight="1" ht="14.25">
      <c r="A55" s="165" t="s">
        <v>91</v>
      </c>
      <c r="B55" s="166" t="s">
        <v>182</v>
      </c>
      <c r="C55" s="167">
        <v>11298</v>
      </c>
      <c r="D55" s="167">
        <v>4333</v>
      </c>
      <c r="E55" s="168">
        <v>1.607350955059347</v>
      </c>
      <c r="F55" s="167">
        <v>92226</v>
      </c>
      <c r="G55" s="167">
        <v>108269</v>
      </c>
      <c r="H55" s="168">
        <v>-0.15</v>
      </c>
      <c r="I55" s="167">
        <v>1764</v>
      </c>
      <c r="J55" s="117">
        <v>12999</v>
      </c>
      <c r="K55" s="117">
        <v>106</v>
      </c>
    </row>
    <row x14ac:dyDescent="0.25" r="56" customHeight="1" ht="14.25">
      <c r="A56" s="165" t="s">
        <v>91</v>
      </c>
      <c r="B56" s="166" t="s">
        <v>183</v>
      </c>
      <c r="C56" s="167">
        <v>0</v>
      </c>
      <c r="D56" s="167">
        <v>0</v>
      </c>
      <c r="E56" s="168"/>
      <c r="F56" s="167">
        <v>0</v>
      </c>
      <c r="G56" s="167">
        <v>0</v>
      </c>
      <c r="H56" s="168" t="s">
        <v>59</v>
      </c>
      <c r="I56" s="167">
        <v>0</v>
      </c>
      <c r="J56" s="117">
        <v>0</v>
      </c>
      <c r="K56" s="117">
        <v>0</v>
      </c>
    </row>
    <row x14ac:dyDescent="0.25" r="57" customHeight="1" ht="14.25">
      <c r="A57" s="169" t="s">
        <v>91</v>
      </c>
      <c r="B57" s="170" t="s">
        <v>184</v>
      </c>
      <c r="C57" s="171">
        <v>73071</v>
      </c>
      <c r="D57" s="171">
        <v>56666</v>
      </c>
      <c r="E57" s="172">
        <v>0.2895048852941171</v>
      </c>
      <c r="F57" s="171">
        <v>1971048</v>
      </c>
      <c r="G57" s="171">
        <v>3156259</v>
      </c>
      <c r="H57" s="172">
        <v>-0.38</v>
      </c>
      <c r="I57" s="171">
        <v>8969</v>
      </c>
      <c r="J57" s="117">
        <v>170000</v>
      </c>
      <c r="K57" s="117">
        <v>6058</v>
      </c>
    </row>
    <row x14ac:dyDescent="0.25" r="58" customHeight="1" ht="14.25">
      <c r="A58" s="161" t="s">
        <v>93</v>
      </c>
      <c r="B58" s="162" t="s">
        <v>30</v>
      </c>
      <c r="C58" s="163">
        <v>5278</v>
      </c>
      <c r="D58" s="163">
        <v>7666</v>
      </c>
      <c r="E58" s="164">
        <v>-0.3115612425165585</v>
      </c>
      <c r="F58" s="163">
        <v>192987</v>
      </c>
      <c r="G58" s="163">
        <v>474580</v>
      </c>
      <c r="H58" s="164">
        <v>-0.59</v>
      </c>
      <c r="I58" s="163">
        <v>1225</v>
      </c>
      <c r="J58" s="117">
        <v>23000</v>
      </c>
      <c r="K58" s="117">
        <v>1107</v>
      </c>
    </row>
    <row x14ac:dyDescent="0.25" r="59" customHeight="1" ht="14.25">
      <c r="A59" s="165" t="s">
        <v>93</v>
      </c>
      <c r="B59" s="166" t="s">
        <v>179</v>
      </c>
      <c r="C59" s="167">
        <v>1842</v>
      </c>
      <c r="D59" s="167">
        <v>4000</v>
      </c>
      <c r="E59" s="168">
        <v>-0.5394558361371358</v>
      </c>
      <c r="F59" s="167">
        <v>105024</v>
      </c>
      <c r="G59" s="167">
        <v>228512</v>
      </c>
      <c r="H59" s="168">
        <v>-0.54</v>
      </c>
      <c r="I59" s="167">
        <v>310</v>
      </c>
      <c r="J59" s="117">
        <v>12000</v>
      </c>
      <c r="K59" s="117">
        <v>634</v>
      </c>
    </row>
    <row x14ac:dyDescent="0.25" r="60" customHeight="1" ht="14.25">
      <c r="A60" s="165" t="s">
        <v>93</v>
      </c>
      <c r="B60" s="166" t="s">
        <v>33</v>
      </c>
      <c r="C60" s="167">
        <v>5439</v>
      </c>
      <c r="D60" s="167">
        <v>6666</v>
      </c>
      <c r="E60" s="168">
        <v>-0.1841485005378733</v>
      </c>
      <c r="F60" s="167">
        <v>188982</v>
      </c>
      <c r="G60" s="167">
        <v>486304</v>
      </c>
      <c r="H60" s="168">
        <v>-0.61</v>
      </c>
      <c r="I60" s="167">
        <v>1300</v>
      </c>
      <c r="J60" s="117">
        <v>20000</v>
      </c>
      <c r="K60" s="117">
        <v>910</v>
      </c>
    </row>
    <row x14ac:dyDescent="0.25" r="61" customHeight="1" ht="14.25">
      <c r="A61" s="165" t="s">
        <v>93</v>
      </c>
      <c r="B61" s="166" t="s">
        <v>180</v>
      </c>
      <c r="C61" s="167">
        <v>5902</v>
      </c>
      <c r="D61" s="167">
        <v>8333</v>
      </c>
      <c r="E61" s="168">
        <v>-0.2917392029571525</v>
      </c>
      <c r="F61" s="167">
        <v>217125</v>
      </c>
      <c r="G61" s="167">
        <v>521420</v>
      </c>
      <c r="H61" s="168">
        <v>-0.58</v>
      </c>
      <c r="I61" s="167">
        <v>891</v>
      </c>
      <c r="J61" s="117">
        <v>24999</v>
      </c>
      <c r="K61" s="117">
        <v>1193</v>
      </c>
    </row>
    <row x14ac:dyDescent="0.25" r="62" customHeight="1" ht="14.25">
      <c r="A62" s="165" t="s">
        <v>93</v>
      </c>
      <c r="B62" s="166" t="s">
        <v>181</v>
      </c>
      <c r="C62" s="167">
        <v>1796</v>
      </c>
      <c r="D62" s="167">
        <v>4000</v>
      </c>
      <c r="E62" s="168">
        <v>-0.5508312296053568</v>
      </c>
      <c r="F62" s="167">
        <v>67851</v>
      </c>
      <c r="G62" s="167">
        <v>204690</v>
      </c>
      <c r="H62" s="168">
        <v>-0.67</v>
      </c>
      <c r="I62" s="167">
        <v>584</v>
      </c>
      <c r="J62" s="117">
        <v>12000</v>
      </c>
      <c r="K62" s="117">
        <v>637</v>
      </c>
    </row>
    <row x14ac:dyDescent="0.25" r="63" customHeight="1" ht="14.25">
      <c r="A63" s="165" t="s">
        <v>93</v>
      </c>
      <c r="B63" s="166" t="s">
        <v>182</v>
      </c>
      <c r="C63" s="167">
        <v>6835</v>
      </c>
      <c r="D63" s="167">
        <v>4333</v>
      </c>
      <c r="E63" s="168">
        <v>0.5775258560133727</v>
      </c>
      <c r="F63" s="167">
        <v>87944</v>
      </c>
      <c r="G63" s="167">
        <v>172129</v>
      </c>
      <c r="H63" s="168">
        <v>-0.49</v>
      </c>
      <c r="I63" s="167">
        <v>882</v>
      </c>
      <c r="J63" s="117">
        <v>12999</v>
      </c>
      <c r="K63" s="117">
        <v>385</v>
      </c>
    </row>
    <row x14ac:dyDescent="0.25" r="64" customHeight="1" ht="14.25">
      <c r="A64" s="165" t="s">
        <v>93</v>
      </c>
      <c r="B64" s="166" t="s">
        <v>183</v>
      </c>
      <c r="C64" s="167">
        <v>0</v>
      </c>
      <c r="D64" s="167">
        <v>0</v>
      </c>
      <c r="E64" s="168"/>
      <c r="F64" s="167">
        <v>0</v>
      </c>
      <c r="G64" s="167">
        <v>0</v>
      </c>
      <c r="H64" s="168" t="s">
        <v>59</v>
      </c>
      <c r="I64" s="167">
        <v>0</v>
      </c>
      <c r="J64" s="117">
        <v>0</v>
      </c>
      <c r="K64" s="117">
        <v>0</v>
      </c>
    </row>
    <row x14ac:dyDescent="0.25" r="65" customHeight="1" ht="14.25">
      <c r="A65" s="169" t="s">
        <v>93</v>
      </c>
      <c r="B65" s="170" t="s">
        <v>184</v>
      </c>
      <c r="C65" s="171">
        <v>41243</v>
      </c>
      <c r="D65" s="171">
        <v>41000</v>
      </c>
      <c r="E65" s="172">
        <v>0.005942052845528512</v>
      </c>
      <c r="F65" s="171">
        <v>1231920</v>
      </c>
      <c r="G65" s="171">
        <v>2872721</v>
      </c>
      <c r="H65" s="172">
        <v>-0.57</v>
      </c>
      <c r="I65" s="171">
        <v>9068</v>
      </c>
      <c r="J65" s="117">
        <v>123000</v>
      </c>
      <c r="K65" s="117">
        <v>5109</v>
      </c>
    </row>
    <row x14ac:dyDescent="0.25" r="66" customHeight="1" ht="14.25">
      <c r="A66" s="161" t="s">
        <v>95</v>
      </c>
      <c r="B66" s="162" t="s">
        <v>30</v>
      </c>
      <c r="C66" s="163">
        <v>24360</v>
      </c>
      <c r="D66" s="163">
        <v>23333</v>
      </c>
      <c r="E66" s="164">
        <v>0.04403007781808288</v>
      </c>
      <c r="F66" s="163">
        <v>591681</v>
      </c>
      <c r="G66" s="163">
        <v>596650</v>
      </c>
      <c r="H66" s="164">
        <v>-0.01</v>
      </c>
      <c r="I66" s="163">
        <v>2217</v>
      </c>
      <c r="J66" s="117">
        <v>69999</v>
      </c>
      <c r="K66" s="117">
        <v>2852</v>
      </c>
    </row>
    <row x14ac:dyDescent="0.25" r="67" customHeight="1" ht="14.25">
      <c r="A67" s="165" t="s">
        <v>95</v>
      </c>
      <c r="B67" s="166" t="s">
        <v>179</v>
      </c>
      <c r="C67" s="167">
        <v>9652</v>
      </c>
      <c r="D67" s="167">
        <v>6666</v>
      </c>
      <c r="E67" s="168">
        <v>0.4478694987297049</v>
      </c>
      <c r="F67" s="167">
        <v>230113</v>
      </c>
      <c r="G67" s="167">
        <v>221807</v>
      </c>
      <c r="H67" s="168">
        <v>0.04</v>
      </c>
      <c r="I67" s="167">
        <v>553</v>
      </c>
      <c r="J67" s="117">
        <v>20000</v>
      </c>
      <c r="K67" s="117">
        <v>646</v>
      </c>
    </row>
    <row x14ac:dyDescent="0.25" r="68" customHeight="1" ht="14.25">
      <c r="A68" s="165" t="s">
        <v>95</v>
      </c>
      <c r="B68" s="166" t="s">
        <v>33</v>
      </c>
      <c r="C68" s="167">
        <v>14869</v>
      </c>
      <c r="D68" s="167">
        <v>13333</v>
      </c>
      <c r="E68" s="168">
        <v>0.1152240030527125</v>
      </c>
      <c r="F68" s="167">
        <v>308482</v>
      </c>
      <c r="G68" s="167">
        <v>327398</v>
      </c>
      <c r="H68" s="168">
        <v>-0.06</v>
      </c>
      <c r="I68" s="167">
        <v>2328</v>
      </c>
      <c r="J68" s="117">
        <v>39999</v>
      </c>
      <c r="K68" s="117">
        <v>1570</v>
      </c>
    </row>
    <row x14ac:dyDescent="0.25" r="69" customHeight="1" ht="14.25">
      <c r="A69" s="165" t="s">
        <v>95</v>
      </c>
      <c r="B69" s="166" t="s">
        <v>180</v>
      </c>
      <c r="C69" s="167">
        <v>0</v>
      </c>
      <c r="D69" s="167">
        <v>0</v>
      </c>
      <c r="E69" s="168"/>
      <c r="F69" s="167">
        <v>80120</v>
      </c>
      <c r="G69" s="167">
        <v>2688</v>
      </c>
      <c r="H69" s="168" t="s">
        <v>187</v>
      </c>
      <c r="I69" s="167">
        <v>0</v>
      </c>
      <c r="J69" s="117">
        <v>0</v>
      </c>
      <c r="K69" s="117">
        <v>0</v>
      </c>
    </row>
    <row x14ac:dyDescent="0.25" r="70" customHeight="1" ht="14.25">
      <c r="A70" s="165" t="s">
        <v>95</v>
      </c>
      <c r="B70" s="166" t="s">
        <v>181</v>
      </c>
      <c r="C70" s="167">
        <v>0</v>
      </c>
      <c r="D70" s="167">
        <v>0</v>
      </c>
      <c r="E70" s="168"/>
      <c r="F70" s="167">
        <v>13940</v>
      </c>
      <c r="G70" s="167">
        <v>79</v>
      </c>
      <c r="H70" s="168" t="s">
        <v>188</v>
      </c>
      <c r="I70" s="167">
        <v>0</v>
      </c>
      <c r="J70" s="117">
        <v>0</v>
      </c>
      <c r="K70" s="117">
        <v>0</v>
      </c>
    </row>
    <row x14ac:dyDescent="0.25" r="71" customHeight="1" ht="14.25">
      <c r="A71" s="165" t="s">
        <v>95</v>
      </c>
      <c r="B71" s="166" t="s">
        <v>182</v>
      </c>
      <c r="C71" s="167">
        <v>0</v>
      </c>
      <c r="D71" s="167">
        <v>0</v>
      </c>
      <c r="E71" s="168"/>
      <c r="F71" s="167">
        <v>7609</v>
      </c>
      <c r="G71" s="167">
        <v>0</v>
      </c>
      <c r="H71" s="168" t="s">
        <v>59</v>
      </c>
      <c r="I71" s="167">
        <v>0</v>
      </c>
      <c r="J71" s="117">
        <v>0</v>
      </c>
      <c r="K71" s="117">
        <v>0</v>
      </c>
    </row>
    <row x14ac:dyDescent="0.25" r="72" customHeight="1" ht="14.25">
      <c r="A72" s="165" t="s">
        <v>95</v>
      </c>
      <c r="B72" s="166" t="s">
        <v>183</v>
      </c>
      <c r="C72" s="167">
        <v>0</v>
      </c>
      <c r="D72" s="167">
        <v>0</v>
      </c>
      <c r="E72" s="168"/>
      <c r="F72" s="167">
        <v>0</v>
      </c>
      <c r="G72" s="167">
        <v>0</v>
      </c>
      <c r="H72" s="168" t="s">
        <v>59</v>
      </c>
      <c r="I72" s="167">
        <v>0</v>
      </c>
      <c r="J72" s="117">
        <v>0</v>
      </c>
      <c r="K72" s="117">
        <v>0</v>
      </c>
    </row>
    <row x14ac:dyDescent="0.25" r="73" customHeight="1" ht="14.25">
      <c r="A73" s="169" t="s">
        <v>95</v>
      </c>
      <c r="B73" s="170" t="s">
        <v>184</v>
      </c>
      <c r="C73" s="171">
        <v>63835</v>
      </c>
      <c r="D73" s="171">
        <v>55000</v>
      </c>
      <c r="E73" s="172">
        <v>0.1606512848484849</v>
      </c>
      <c r="F73" s="171">
        <v>1596804</v>
      </c>
      <c r="G73" s="171">
        <v>1493963</v>
      </c>
      <c r="H73" s="172">
        <v>0.07</v>
      </c>
      <c r="I73" s="171">
        <v>7590</v>
      </c>
      <c r="J73" s="117">
        <v>165000</v>
      </c>
      <c r="K73" s="117">
        <v>6322</v>
      </c>
    </row>
    <row x14ac:dyDescent="0.25" r="74" customHeight="1" ht="14.25">
      <c r="A74" s="161" t="s">
        <v>97</v>
      </c>
      <c r="B74" s="162" t="s">
        <v>30</v>
      </c>
      <c r="C74" s="163">
        <v>0</v>
      </c>
      <c r="D74" s="163">
        <v>0</v>
      </c>
      <c r="E74" s="164"/>
      <c r="F74" s="163">
        <v>50645</v>
      </c>
      <c r="G74" s="163">
        <v>0</v>
      </c>
      <c r="H74" s="164" t="s">
        <v>59</v>
      </c>
      <c r="I74" s="163">
        <v>0</v>
      </c>
      <c r="J74" s="117">
        <v>0</v>
      </c>
      <c r="K74" s="117">
        <v>0</v>
      </c>
    </row>
    <row x14ac:dyDescent="0.25" r="75" customHeight="1" ht="14.25">
      <c r="A75" s="165" t="s">
        <v>97</v>
      </c>
      <c r="B75" s="166" t="s">
        <v>179</v>
      </c>
      <c r="C75" s="167">
        <v>0</v>
      </c>
      <c r="D75" s="167">
        <v>0</v>
      </c>
      <c r="E75" s="168"/>
      <c r="F75" s="167">
        <v>21662</v>
      </c>
      <c r="G75" s="167">
        <v>0</v>
      </c>
      <c r="H75" s="168" t="s">
        <v>59</v>
      </c>
      <c r="I75" s="167">
        <v>0</v>
      </c>
      <c r="J75" s="117">
        <v>0</v>
      </c>
      <c r="K75" s="117">
        <v>0</v>
      </c>
    </row>
    <row x14ac:dyDescent="0.25" r="76" customHeight="1" ht="14.25">
      <c r="A76" s="165" t="s">
        <v>97</v>
      </c>
      <c r="B76" s="166" t="s">
        <v>33</v>
      </c>
      <c r="C76" s="167">
        <v>0</v>
      </c>
      <c r="D76" s="167">
        <v>0</v>
      </c>
      <c r="E76" s="168"/>
      <c r="F76" s="167">
        <v>31353</v>
      </c>
      <c r="G76" s="167">
        <v>0</v>
      </c>
      <c r="H76" s="168" t="s">
        <v>59</v>
      </c>
      <c r="I76" s="167">
        <v>0</v>
      </c>
      <c r="J76" s="117">
        <v>0</v>
      </c>
      <c r="K76" s="117">
        <v>0</v>
      </c>
    </row>
    <row x14ac:dyDescent="0.25" r="77" customHeight="1" ht="14.25">
      <c r="A77" s="165" t="s">
        <v>97</v>
      </c>
      <c r="B77" s="166" t="s">
        <v>180</v>
      </c>
      <c r="C77" s="167">
        <v>23381</v>
      </c>
      <c r="D77" s="167">
        <v>21666</v>
      </c>
      <c r="E77" s="168">
        <v>0.07914653992285947</v>
      </c>
      <c r="F77" s="167">
        <v>520140</v>
      </c>
      <c r="G77" s="167">
        <v>519993</v>
      </c>
      <c r="H77" s="168">
        <v>0</v>
      </c>
      <c r="I77" s="167">
        <v>1358</v>
      </c>
      <c r="J77" s="117">
        <v>65000</v>
      </c>
      <c r="K77" s="117">
        <v>2601</v>
      </c>
    </row>
    <row x14ac:dyDescent="0.25" r="78" customHeight="1" ht="14.25">
      <c r="A78" s="165" t="s">
        <v>97</v>
      </c>
      <c r="B78" s="166" t="s">
        <v>181</v>
      </c>
      <c r="C78" s="167">
        <v>11123</v>
      </c>
      <c r="D78" s="167">
        <v>8333</v>
      </c>
      <c r="E78" s="168">
        <v>0.3348139996337844</v>
      </c>
      <c r="F78" s="167">
        <v>193854</v>
      </c>
      <c r="G78" s="167">
        <v>178569</v>
      </c>
      <c r="H78" s="168">
        <v>0.09</v>
      </c>
      <c r="I78" s="167">
        <v>1104</v>
      </c>
      <c r="J78" s="117">
        <v>24999</v>
      </c>
      <c r="K78" s="117">
        <v>867</v>
      </c>
    </row>
    <row x14ac:dyDescent="0.25" r="79" customHeight="1" ht="14.25">
      <c r="A79" s="165" t="s">
        <v>97</v>
      </c>
      <c r="B79" s="166" t="s">
        <v>182</v>
      </c>
      <c r="C79" s="167">
        <v>19754</v>
      </c>
      <c r="D79" s="167">
        <v>6666</v>
      </c>
      <c r="E79" s="168">
        <v>1.963117669394534</v>
      </c>
      <c r="F79" s="167">
        <v>94435</v>
      </c>
      <c r="G79" s="167">
        <v>105891</v>
      </c>
      <c r="H79" s="168">
        <v>-0.11</v>
      </c>
      <c r="I79" s="167">
        <v>2860</v>
      </c>
      <c r="J79" s="117">
        <v>20000</v>
      </c>
      <c r="K79" s="117">
        <v>15</v>
      </c>
    </row>
    <row x14ac:dyDescent="0.25" r="80" customHeight="1" ht="14.25">
      <c r="A80" s="165" t="s">
        <v>97</v>
      </c>
      <c r="B80" s="166" t="s">
        <v>183</v>
      </c>
      <c r="C80" s="167">
        <v>0</v>
      </c>
      <c r="D80" s="167">
        <v>0</v>
      </c>
      <c r="E80" s="168"/>
      <c r="F80" s="167">
        <v>0</v>
      </c>
      <c r="G80" s="167">
        <v>0</v>
      </c>
      <c r="H80" s="168" t="s">
        <v>59</v>
      </c>
      <c r="I80" s="167">
        <v>0</v>
      </c>
      <c r="J80" s="117">
        <v>0</v>
      </c>
      <c r="K80" s="117">
        <v>0</v>
      </c>
    </row>
    <row x14ac:dyDescent="0.25" r="81" customHeight="1" ht="14.25">
      <c r="A81" s="169" t="s">
        <v>97</v>
      </c>
      <c r="B81" s="170" t="s">
        <v>184</v>
      </c>
      <c r="C81" s="171">
        <v>74981</v>
      </c>
      <c r="D81" s="171">
        <v>56666</v>
      </c>
      <c r="E81" s="172">
        <v>0.3232115488235285</v>
      </c>
      <c r="F81" s="171">
        <v>1293813</v>
      </c>
      <c r="G81" s="171">
        <v>1364983</v>
      </c>
      <c r="H81" s="172">
        <v>-0.05</v>
      </c>
      <c r="I81" s="171">
        <v>7776</v>
      </c>
      <c r="J81" s="117">
        <v>170000</v>
      </c>
      <c r="K81" s="117">
        <v>5938</v>
      </c>
    </row>
    <row x14ac:dyDescent="0.25" r="82" customHeight="1" ht="14.25">
      <c r="A82" s="161" t="s">
        <v>99</v>
      </c>
      <c r="B82" s="162" t="s">
        <v>30</v>
      </c>
      <c r="C82" s="163">
        <v>19156</v>
      </c>
      <c r="D82" s="163">
        <v>24000</v>
      </c>
      <c r="E82" s="164">
        <v>-0.2018323794691304</v>
      </c>
      <c r="F82" s="163">
        <v>724134</v>
      </c>
      <c r="G82" s="163">
        <v>694011</v>
      </c>
      <c r="H82" s="164">
        <v>0.04</v>
      </c>
      <c r="I82" s="163">
        <v>1772</v>
      </c>
      <c r="J82" s="117">
        <v>72000</v>
      </c>
      <c r="K82" s="117">
        <v>3302</v>
      </c>
    </row>
    <row x14ac:dyDescent="0.25" r="83" customHeight="1" ht="14.25">
      <c r="A83" s="165" t="s">
        <v>99</v>
      </c>
      <c r="B83" s="166" t="s">
        <v>179</v>
      </c>
      <c r="C83" s="167">
        <v>5413</v>
      </c>
      <c r="D83" s="167">
        <v>7333</v>
      </c>
      <c r="E83" s="168">
        <v>-0.2618063810521897</v>
      </c>
      <c r="F83" s="167">
        <v>317816</v>
      </c>
      <c r="G83" s="167">
        <v>256779</v>
      </c>
      <c r="H83" s="168">
        <v>0.24</v>
      </c>
      <c r="I83" s="167">
        <v>601</v>
      </c>
      <c r="J83" s="117">
        <v>21999</v>
      </c>
      <c r="K83" s="117">
        <v>1036</v>
      </c>
    </row>
    <row x14ac:dyDescent="0.25" r="84" customHeight="1" ht="14.25">
      <c r="A84" s="165" t="s">
        <v>99</v>
      </c>
      <c r="B84" s="166" t="s">
        <v>33</v>
      </c>
      <c r="C84" s="167">
        <v>5676</v>
      </c>
      <c r="D84" s="167">
        <v>16000</v>
      </c>
      <c r="E84" s="168">
        <v>-0.6452339568932852</v>
      </c>
      <c r="F84" s="167">
        <v>511749</v>
      </c>
      <c r="G84" s="167">
        <v>445012</v>
      </c>
      <c r="H84" s="168">
        <v>0.15</v>
      </c>
      <c r="I84" s="167">
        <v>479</v>
      </c>
      <c r="J84" s="117">
        <v>48000</v>
      </c>
      <c r="K84" s="117">
        <v>2645</v>
      </c>
    </row>
    <row x14ac:dyDescent="0.25" r="85" customHeight="1" ht="14.25">
      <c r="A85" s="165" t="s">
        <v>99</v>
      </c>
      <c r="B85" s="166" t="s">
        <v>180</v>
      </c>
      <c r="C85" s="167">
        <v>0</v>
      </c>
      <c r="D85" s="167">
        <v>0</v>
      </c>
      <c r="E85" s="168"/>
      <c r="F85" s="167">
        <v>70502</v>
      </c>
      <c r="G85" s="167">
        <v>25341</v>
      </c>
      <c r="H85" s="168">
        <v>1.78</v>
      </c>
      <c r="I85" s="167">
        <v>0</v>
      </c>
      <c r="J85" s="117">
        <v>0</v>
      </c>
      <c r="K85" s="117">
        <v>0</v>
      </c>
    </row>
    <row x14ac:dyDescent="0.25" r="86" customHeight="1" ht="14.25">
      <c r="A86" s="165" t="s">
        <v>99</v>
      </c>
      <c r="B86" s="166" t="s">
        <v>181</v>
      </c>
      <c r="C86" s="167">
        <v>0</v>
      </c>
      <c r="D86" s="167">
        <v>0</v>
      </c>
      <c r="E86" s="168"/>
      <c r="F86" s="167">
        <v>24224</v>
      </c>
      <c r="G86" s="167">
        <v>8293</v>
      </c>
      <c r="H86" s="168">
        <v>1.92</v>
      </c>
      <c r="I86" s="167">
        <v>0</v>
      </c>
      <c r="J86" s="117">
        <v>0</v>
      </c>
      <c r="K86" s="117">
        <v>0</v>
      </c>
    </row>
    <row x14ac:dyDescent="0.25" r="87" customHeight="1" ht="14.25">
      <c r="A87" s="165" t="s">
        <v>99</v>
      </c>
      <c r="B87" s="166" t="s">
        <v>182</v>
      </c>
      <c r="C87" s="167">
        <v>0</v>
      </c>
      <c r="D87" s="167">
        <v>0</v>
      </c>
      <c r="E87" s="168"/>
      <c r="F87" s="167">
        <v>12271</v>
      </c>
      <c r="G87" s="167">
        <v>8607</v>
      </c>
      <c r="H87" s="168">
        <v>0.43</v>
      </c>
      <c r="I87" s="167">
        <v>0</v>
      </c>
      <c r="J87" s="117">
        <v>0</v>
      </c>
      <c r="K87" s="117">
        <v>0</v>
      </c>
    </row>
    <row x14ac:dyDescent="0.25" r="88" customHeight="1" ht="14.25">
      <c r="A88" s="165" t="s">
        <v>99</v>
      </c>
      <c r="B88" s="166" t="s">
        <v>183</v>
      </c>
      <c r="C88" s="167">
        <v>0</v>
      </c>
      <c r="D88" s="167">
        <v>0</v>
      </c>
      <c r="E88" s="168"/>
      <c r="F88" s="167">
        <v>0</v>
      </c>
      <c r="G88" s="167">
        <v>0</v>
      </c>
      <c r="H88" s="168" t="s">
        <v>59</v>
      </c>
      <c r="I88" s="167">
        <v>0</v>
      </c>
      <c r="J88" s="117">
        <v>0</v>
      </c>
      <c r="K88" s="117">
        <v>0</v>
      </c>
    </row>
    <row x14ac:dyDescent="0.25" r="89" customHeight="1" ht="14.25">
      <c r="A89" s="169" t="s">
        <v>99</v>
      </c>
      <c r="B89" s="170" t="s">
        <v>184</v>
      </c>
      <c r="C89" s="171">
        <v>54261</v>
      </c>
      <c r="D89" s="171">
        <v>58000</v>
      </c>
      <c r="E89" s="172">
        <v>-0.06445598204022984</v>
      </c>
      <c r="F89" s="171">
        <v>2324005</v>
      </c>
      <c r="G89" s="171">
        <v>1969425</v>
      </c>
      <c r="H89" s="172">
        <v>0.18</v>
      </c>
      <c r="I89" s="171">
        <v>7762</v>
      </c>
      <c r="J89" s="117">
        <v>174000</v>
      </c>
      <c r="K89" s="117">
        <v>7483</v>
      </c>
    </row>
    <row x14ac:dyDescent="0.25" r="90" customHeight="1" ht="14.25">
      <c r="A90" s="161" t="s">
        <v>101</v>
      </c>
      <c r="B90" s="162" t="s">
        <v>30</v>
      </c>
      <c r="C90" s="163">
        <v>0</v>
      </c>
      <c r="D90" s="163">
        <v>0</v>
      </c>
      <c r="E90" s="164"/>
      <c r="F90" s="163">
        <v>19460</v>
      </c>
      <c r="G90" s="163">
        <v>7124</v>
      </c>
      <c r="H90" s="164">
        <v>1.73</v>
      </c>
      <c r="I90" s="163">
        <v>0</v>
      </c>
      <c r="J90" s="117">
        <v>0</v>
      </c>
      <c r="K90" s="117">
        <v>0</v>
      </c>
    </row>
    <row x14ac:dyDescent="0.25" r="91" customHeight="1" ht="14.25">
      <c r="A91" s="165" t="s">
        <v>101</v>
      </c>
      <c r="B91" s="166" t="s">
        <v>179</v>
      </c>
      <c r="C91" s="167">
        <v>0</v>
      </c>
      <c r="D91" s="167">
        <v>0</v>
      </c>
      <c r="E91" s="168"/>
      <c r="F91" s="167">
        <v>8642</v>
      </c>
      <c r="G91" s="167">
        <v>2563</v>
      </c>
      <c r="H91" s="168">
        <v>2.37</v>
      </c>
      <c r="I91" s="167">
        <v>0</v>
      </c>
      <c r="J91" s="117">
        <v>0</v>
      </c>
      <c r="K91" s="117">
        <v>0</v>
      </c>
    </row>
    <row x14ac:dyDescent="0.25" r="92" customHeight="1" ht="14.25">
      <c r="A92" s="165" t="s">
        <v>101</v>
      </c>
      <c r="B92" s="166" t="s">
        <v>33</v>
      </c>
      <c r="C92" s="167">
        <v>0</v>
      </c>
      <c r="D92" s="167">
        <v>0</v>
      </c>
      <c r="E92" s="168"/>
      <c r="F92" s="167">
        <v>2070</v>
      </c>
      <c r="G92" s="167">
        <v>3606</v>
      </c>
      <c r="H92" s="168">
        <v>-0.43</v>
      </c>
      <c r="I92" s="167">
        <v>0</v>
      </c>
      <c r="J92" s="117">
        <v>0</v>
      </c>
      <c r="K92" s="117">
        <v>0</v>
      </c>
    </row>
    <row x14ac:dyDescent="0.25" r="93" customHeight="1" ht="14.25">
      <c r="A93" s="165" t="s">
        <v>101</v>
      </c>
      <c r="B93" s="166" t="s">
        <v>180</v>
      </c>
      <c r="C93" s="167">
        <v>28234</v>
      </c>
      <c r="D93" s="167">
        <v>29000</v>
      </c>
      <c r="E93" s="168">
        <v>-0.02639614721276307</v>
      </c>
      <c r="F93" s="167">
        <v>760685</v>
      </c>
      <c r="G93" s="167">
        <v>848417</v>
      </c>
      <c r="H93" s="168">
        <v>-0.1</v>
      </c>
      <c r="I93" s="167">
        <v>2340</v>
      </c>
      <c r="J93" s="117">
        <v>87000</v>
      </c>
      <c r="K93" s="117">
        <v>3672</v>
      </c>
    </row>
    <row x14ac:dyDescent="0.25" r="94" customHeight="1" ht="14.25">
      <c r="A94" s="165" t="s">
        <v>101</v>
      </c>
      <c r="B94" s="166" t="s">
        <v>181</v>
      </c>
      <c r="C94" s="167">
        <v>8316</v>
      </c>
      <c r="D94" s="167">
        <v>7666</v>
      </c>
      <c r="E94" s="168">
        <v>0.08476609205163</v>
      </c>
      <c r="F94" s="167">
        <v>210019</v>
      </c>
      <c r="G94" s="167">
        <v>240653</v>
      </c>
      <c r="H94" s="168">
        <v>-0.13</v>
      </c>
      <c r="I94" s="167">
        <v>1211</v>
      </c>
      <c r="J94" s="117">
        <v>23000</v>
      </c>
      <c r="K94" s="117">
        <v>917</v>
      </c>
    </row>
    <row x14ac:dyDescent="0.25" r="95" customHeight="1" ht="14.25">
      <c r="A95" s="165" t="s">
        <v>101</v>
      </c>
      <c r="B95" s="166" t="s">
        <v>182</v>
      </c>
      <c r="C95" s="167">
        <v>13210</v>
      </c>
      <c r="D95" s="167">
        <v>11000</v>
      </c>
      <c r="E95" s="168">
        <v>0.2009433832179246</v>
      </c>
      <c r="F95" s="167">
        <v>222057</v>
      </c>
      <c r="G95" s="167">
        <v>248655</v>
      </c>
      <c r="H95" s="168">
        <v>-0.11</v>
      </c>
      <c r="I95" s="167">
        <v>1094</v>
      </c>
      <c r="J95" s="117">
        <v>33000</v>
      </c>
      <c r="K95" s="117">
        <v>1236</v>
      </c>
    </row>
    <row x14ac:dyDescent="0.25" r="96" customHeight="1" ht="14.25">
      <c r="A96" s="165" t="s">
        <v>101</v>
      </c>
      <c r="B96" s="166" t="s">
        <v>183</v>
      </c>
      <c r="C96" s="167">
        <v>0</v>
      </c>
      <c r="D96" s="167">
        <v>0</v>
      </c>
      <c r="E96" s="168"/>
      <c r="F96" s="167">
        <v>0</v>
      </c>
      <c r="G96" s="167">
        <v>0</v>
      </c>
      <c r="H96" s="168" t="s">
        <v>59</v>
      </c>
      <c r="I96" s="167">
        <v>0</v>
      </c>
      <c r="J96" s="117">
        <v>0</v>
      </c>
      <c r="K96" s="117">
        <v>0</v>
      </c>
    </row>
    <row x14ac:dyDescent="0.25" r="97" customHeight="1" ht="14.25">
      <c r="A97" s="169" t="s">
        <v>101</v>
      </c>
      <c r="B97" s="170" t="s">
        <v>184</v>
      </c>
      <c r="C97" s="171">
        <v>79683</v>
      </c>
      <c r="D97" s="171">
        <v>83333</v>
      </c>
      <c r="E97" s="172">
        <v>-0.04379311279999965</v>
      </c>
      <c r="F97" s="171">
        <v>2019268</v>
      </c>
      <c r="G97" s="171">
        <v>2299285</v>
      </c>
      <c r="H97" s="172">
        <v>-0.12</v>
      </c>
      <c r="I97" s="171">
        <v>7670</v>
      </c>
      <c r="J97" s="117">
        <v>249999</v>
      </c>
      <c r="K97" s="117">
        <v>10644</v>
      </c>
    </row>
    <row x14ac:dyDescent="0.25" r="98" customHeight="1" ht="14.25">
      <c r="A98" s="161" t="s">
        <v>103</v>
      </c>
      <c r="B98" s="162" t="s">
        <v>30</v>
      </c>
      <c r="C98" s="163">
        <v>0</v>
      </c>
      <c r="D98" s="163">
        <v>0</v>
      </c>
      <c r="E98" s="164"/>
      <c r="F98" s="163">
        <v>4345</v>
      </c>
      <c r="G98" s="163">
        <v>997</v>
      </c>
      <c r="H98" s="164">
        <v>3.36</v>
      </c>
      <c r="I98" s="163">
        <v>0</v>
      </c>
      <c r="J98" s="117">
        <v>0</v>
      </c>
      <c r="K98" s="117">
        <v>0</v>
      </c>
    </row>
    <row x14ac:dyDescent="0.25" r="99" customHeight="1" ht="14.25">
      <c r="A99" s="165" t="s">
        <v>103</v>
      </c>
      <c r="B99" s="166" t="s">
        <v>179</v>
      </c>
      <c r="C99" s="167">
        <v>0</v>
      </c>
      <c r="D99" s="167">
        <v>0</v>
      </c>
      <c r="E99" s="168"/>
      <c r="F99" s="167">
        <v>1835</v>
      </c>
      <c r="G99" s="167">
        <v>756</v>
      </c>
      <c r="H99" s="168">
        <v>1.43</v>
      </c>
      <c r="I99" s="167">
        <v>0</v>
      </c>
      <c r="J99" s="117">
        <v>0</v>
      </c>
      <c r="K99" s="117">
        <v>0</v>
      </c>
    </row>
    <row x14ac:dyDescent="0.25" r="100" customHeight="1" ht="14.25">
      <c r="A100" s="165" t="s">
        <v>103</v>
      </c>
      <c r="B100" s="166" t="s">
        <v>33</v>
      </c>
      <c r="C100" s="167">
        <v>0</v>
      </c>
      <c r="D100" s="167">
        <v>0</v>
      </c>
      <c r="E100" s="168"/>
      <c r="F100" s="167">
        <v>1332</v>
      </c>
      <c r="G100" s="167">
        <v>442</v>
      </c>
      <c r="H100" s="168">
        <v>2.01</v>
      </c>
      <c r="I100" s="167">
        <v>0</v>
      </c>
      <c r="J100" s="117">
        <v>0</v>
      </c>
      <c r="K100" s="117">
        <v>0</v>
      </c>
    </row>
    <row x14ac:dyDescent="0.25" r="101" customHeight="1" ht="14.25">
      <c r="A101" s="165" t="s">
        <v>103</v>
      </c>
      <c r="B101" s="166" t="s">
        <v>180</v>
      </c>
      <c r="C101" s="167">
        <v>30619</v>
      </c>
      <c r="D101" s="167">
        <v>30000</v>
      </c>
      <c r="E101" s="168">
        <v>0.02065000565846664</v>
      </c>
      <c r="F101" s="167">
        <v>814546</v>
      </c>
      <c r="G101" s="167">
        <v>797207</v>
      </c>
      <c r="H101" s="168">
        <v>0.02</v>
      </c>
      <c r="I101" s="167">
        <v>2206</v>
      </c>
      <c r="J101" s="117">
        <v>90000</v>
      </c>
      <c r="K101" s="117">
        <v>3711</v>
      </c>
    </row>
    <row x14ac:dyDescent="0.25" r="102" customHeight="1" ht="14.25">
      <c r="A102" s="165" t="s">
        <v>103</v>
      </c>
      <c r="B102" s="166" t="s">
        <v>181</v>
      </c>
      <c r="C102" s="167">
        <v>8717</v>
      </c>
      <c r="D102" s="167">
        <v>10000</v>
      </c>
      <c r="E102" s="168">
        <v>-0.1282336572631839</v>
      </c>
      <c r="F102" s="167">
        <v>266683</v>
      </c>
      <c r="G102" s="167">
        <v>288763</v>
      </c>
      <c r="H102" s="168">
        <v>-0.08</v>
      </c>
      <c r="I102" s="167">
        <v>835</v>
      </c>
      <c r="J102" s="117">
        <v>30000</v>
      </c>
      <c r="K102" s="117">
        <v>1330</v>
      </c>
    </row>
    <row x14ac:dyDescent="0.25" r="103" customHeight="1" ht="14.25">
      <c r="A103" s="165" t="s">
        <v>103</v>
      </c>
      <c r="B103" s="166" t="s">
        <v>182</v>
      </c>
      <c r="C103" s="167">
        <v>12491</v>
      </c>
      <c r="D103" s="167">
        <v>9333</v>
      </c>
      <c r="E103" s="168">
        <v>0.3384037944161575</v>
      </c>
      <c r="F103" s="167">
        <v>239483</v>
      </c>
      <c r="G103" s="167">
        <v>232190</v>
      </c>
      <c r="H103" s="168">
        <v>0.03</v>
      </c>
      <c r="I103" s="167">
        <v>719</v>
      </c>
      <c r="J103" s="117">
        <v>27999</v>
      </c>
      <c r="K103" s="117">
        <v>969</v>
      </c>
    </row>
    <row x14ac:dyDescent="0.25" r="104" customHeight="1" ht="14.25">
      <c r="A104" s="165" t="s">
        <v>103</v>
      </c>
      <c r="B104" s="166" t="s">
        <v>183</v>
      </c>
      <c r="C104" s="167">
        <v>0</v>
      </c>
      <c r="D104" s="167">
        <v>0</v>
      </c>
      <c r="E104" s="168"/>
      <c r="F104" s="167">
        <v>0</v>
      </c>
      <c r="G104" s="167">
        <v>739</v>
      </c>
      <c r="H104" s="168">
        <v>-1</v>
      </c>
      <c r="I104" s="167">
        <v>0</v>
      </c>
      <c r="J104" s="117">
        <v>0</v>
      </c>
      <c r="K104" s="117">
        <v>0</v>
      </c>
    </row>
    <row x14ac:dyDescent="0.25" r="105" customHeight="1" ht="14.25">
      <c r="A105" s="169" t="s">
        <v>103</v>
      </c>
      <c r="B105" s="170" t="s">
        <v>184</v>
      </c>
      <c r="C105" s="171">
        <v>82553</v>
      </c>
      <c r="D105" s="171">
        <v>96666</v>
      </c>
      <c r="E105" s="172">
        <v>-0.1459997000000004</v>
      </c>
      <c r="F105" s="171">
        <v>2169761</v>
      </c>
      <c r="G105" s="171">
        <v>2293870</v>
      </c>
      <c r="H105" s="172">
        <v>-0.05</v>
      </c>
      <c r="I105" s="171">
        <v>5896</v>
      </c>
      <c r="J105" s="117">
        <v>290000</v>
      </c>
      <c r="K105" s="117">
        <v>12965</v>
      </c>
    </row>
    <row x14ac:dyDescent="0.25" r="106" customHeight="1" ht="14.25">
      <c r="A106" s="161" t="s">
        <v>106</v>
      </c>
      <c r="B106" s="162" t="s">
        <v>30</v>
      </c>
      <c r="C106" s="163">
        <v>24393</v>
      </c>
      <c r="D106" s="163">
        <v>26666</v>
      </c>
      <c r="E106" s="164">
        <v>-0.08525555506286875</v>
      </c>
      <c r="F106" s="163">
        <v>702529</v>
      </c>
      <c r="G106" s="163">
        <v>707812</v>
      </c>
      <c r="H106" s="164">
        <v>-0.01</v>
      </c>
      <c r="I106" s="163">
        <v>5975</v>
      </c>
      <c r="J106" s="117">
        <v>80000</v>
      </c>
      <c r="K106" s="117">
        <v>3475</v>
      </c>
    </row>
    <row x14ac:dyDescent="0.25" r="107" customHeight="1" ht="14.25">
      <c r="A107" s="165" t="s">
        <v>106</v>
      </c>
      <c r="B107" s="166" t="s">
        <v>179</v>
      </c>
      <c r="C107" s="167">
        <v>11206</v>
      </c>
      <c r="D107" s="167">
        <v>6000</v>
      </c>
      <c r="E107" s="168">
        <v>0.8677244343227779</v>
      </c>
      <c r="F107" s="167">
        <v>311153</v>
      </c>
      <c r="G107" s="167">
        <v>260049</v>
      </c>
      <c r="H107" s="168">
        <v>0.2</v>
      </c>
      <c r="I107" s="167">
        <v>358</v>
      </c>
      <c r="J107" s="117">
        <v>18000</v>
      </c>
      <c r="K107" s="117">
        <v>424</v>
      </c>
    </row>
    <row x14ac:dyDescent="0.25" r="108" customHeight="1" ht="14.25">
      <c r="A108" s="165" t="s">
        <v>106</v>
      </c>
      <c r="B108" s="166" t="s">
        <v>33</v>
      </c>
      <c r="C108" s="167">
        <v>6444</v>
      </c>
      <c r="D108" s="167">
        <v>14000</v>
      </c>
      <c r="E108" s="168">
        <v>-0.5397135699731151</v>
      </c>
      <c r="F108" s="167">
        <v>421942</v>
      </c>
      <c r="G108" s="167">
        <v>384115</v>
      </c>
      <c r="H108" s="168">
        <v>0.1</v>
      </c>
      <c r="I108" s="167">
        <v>956</v>
      </c>
      <c r="J108" s="117">
        <v>42000</v>
      </c>
      <c r="K108" s="117">
        <v>2222</v>
      </c>
    </row>
    <row x14ac:dyDescent="0.25" r="109" customHeight="1" ht="14.25">
      <c r="A109" s="165" t="s">
        <v>106</v>
      </c>
      <c r="B109" s="166" t="s">
        <v>180</v>
      </c>
      <c r="C109" s="167">
        <v>0</v>
      </c>
      <c r="D109" s="167">
        <v>0</v>
      </c>
      <c r="E109" s="168"/>
      <c r="F109" s="167">
        <v>1375</v>
      </c>
      <c r="G109" s="167">
        <v>-44</v>
      </c>
      <c r="H109" s="168" t="s">
        <v>189</v>
      </c>
      <c r="I109" s="167">
        <v>0</v>
      </c>
      <c r="J109" s="117">
        <v>0</v>
      </c>
      <c r="K109" s="117">
        <v>0</v>
      </c>
    </row>
    <row x14ac:dyDescent="0.25" r="110" customHeight="1" ht="14.25">
      <c r="A110" s="165" t="s">
        <v>106</v>
      </c>
      <c r="B110" s="166" t="s">
        <v>181</v>
      </c>
      <c r="C110" s="167">
        <v>0</v>
      </c>
      <c r="D110" s="167">
        <v>0</v>
      </c>
      <c r="E110" s="168"/>
      <c r="F110" s="167">
        <v>185</v>
      </c>
      <c r="G110" s="167">
        <v>-151</v>
      </c>
      <c r="H110" s="168">
        <v>-2.22</v>
      </c>
      <c r="I110" s="167">
        <v>0</v>
      </c>
      <c r="J110" s="117">
        <v>0</v>
      </c>
      <c r="K110" s="117">
        <v>0</v>
      </c>
    </row>
    <row x14ac:dyDescent="0.25" r="111" customHeight="1" ht="14.25">
      <c r="A111" s="165" t="s">
        <v>106</v>
      </c>
      <c r="B111" s="166" t="s">
        <v>182</v>
      </c>
      <c r="C111" s="167">
        <v>0</v>
      </c>
      <c r="D111" s="167">
        <v>0</v>
      </c>
      <c r="E111" s="168"/>
      <c r="F111" s="167">
        <v>454</v>
      </c>
      <c r="G111" s="167">
        <v>0</v>
      </c>
      <c r="H111" s="168" t="s">
        <v>59</v>
      </c>
      <c r="I111" s="167">
        <v>0</v>
      </c>
      <c r="J111" s="117">
        <v>0</v>
      </c>
      <c r="K111" s="117">
        <v>0</v>
      </c>
    </row>
    <row x14ac:dyDescent="0.25" r="112" customHeight="1" ht="14.25">
      <c r="A112" s="165" t="s">
        <v>106</v>
      </c>
      <c r="B112" s="166" t="s">
        <v>183</v>
      </c>
      <c r="C112" s="167">
        <v>0</v>
      </c>
      <c r="D112" s="167">
        <v>0</v>
      </c>
      <c r="E112" s="168"/>
      <c r="F112" s="167">
        <v>0</v>
      </c>
      <c r="G112" s="167">
        <v>0</v>
      </c>
      <c r="H112" s="168" t="s">
        <v>59</v>
      </c>
      <c r="I112" s="167">
        <v>0</v>
      </c>
      <c r="J112" s="117">
        <v>0</v>
      </c>
      <c r="K112" s="117">
        <v>0</v>
      </c>
    </row>
    <row x14ac:dyDescent="0.25" r="113" customHeight="1" ht="14.25">
      <c r="A113" s="169" t="s">
        <v>106</v>
      </c>
      <c r="B113" s="170" t="s">
        <v>184</v>
      </c>
      <c r="C113" s="171">
        <v>53654</v>
      </c>
      <c r="D113" s="171">
        <v>56666</v>
      </c>
      <c r="E113" s="172">
        <v>-0.053151914720589</v>
      </c>
      <c r="F113" s="171">
        <v>1857274</v>
      </c>
      <c r="G113" s="171">
        <v>1782385</v>
      </c>
      <c r="H113" s="172">
        <v>0.04</v>
      </c>
      <c r="I113" s="171">
        <v>7735</v>
      </c>
      <c r="J113" s="117">
        <v>170000</v>
      </c>
      <c r="K113" s="117">
        <v>7271</v>
      </c>
    </row>
    <row x14ac:dyDescent="0.25" r="114" customHeight="1" ht="14.25">
      <c r="A114" s="161" t="s">
        <v>108</v>
      </c>
      <c r="B114" s="162" t="s">
        <v>30</v>
      </c>
      <c r="C114" s="163">
        <v>21751</v>
      </c>
      <c r="D114" s="163">
        <v>21000</v>
      </c>
      <c r="E114" s="164">
        <v>0.03580525425502379</v>
      </c>
      <c r="F114" s="163">
        <v>666931</v>
      </c>
      <c r="G114" s="163">
        <v>660431</v>
      </c>
      <c r="H114" s="164">
        <v>0.01</v>
      </c>
      <c r="I114" s="163">
        <v>0</v>
      </c>
      <c r="J114" s="117">
        <v>63000</v>
      </c>
      <c r="K114" s="117">
        <v>2578</v>
      </c>
    </row>
    <row x14ac:dyDescent="0.25" r="115" customHeight="1" ht="14.25">
      <c r="A115" s="165" t="s">
        <v>108</v>
      </c>
      <c r="B115" s="166" t="s">
        <v>179</v>
      </c>
      <c r="C115" s="167">
        <v>5265</v>
      </c>
      <c r="D115" s="167">
        <v>4333</v>
      </c>
      <c r="E115" s="168">
        <v>0.2150530979449938</v>
      </c>
      <c r="F115" s="167">
        <v>249126</v>
      </c>
      <c r="G115" s="167">
        <v>205532</v>
      </c>
      <c r="H115" s="168">
        <v>0.21</v>
      </c>
      <c r="I115" s="167">
        <v>0</v>
      </c>
      <c r="J115" s="117">
        <v>12999</v>
      </c>
      <c r="K115" s="117">
        <v>483</v>
      </c>
    </row>
    <row x14ac:dyDescent="0.25" r="116" customHeight="1" ht="14.25">
      <c r="A116" s="165" t="s">
        <v>108</v>
      </c>
      <c r="B116" s="166" t="s">
        <v>33</v>
      </c>
      <c r="C116" s="167">
        <v>2764</v>
      </c>
      <c r="D116" s="167">
        <v>8333</v>
      </c>
      <c r="E116" s="168">
        <v>-0.6682804068756099</v>
      </c>
      <c r="F116" s="167">
        <v>283112</v>
      </c>
      <c r="G116" s="167">
        <v>294355</v>
      </c>
      <c r="H116" s="168">
        <v>-0.04</v>
      </c>
      <c r="I116" s="167">
        <v>0</v>
      </c>
      <c r="J116" s="117">
        <v>24999</v>
      </c>
      <c r="K116" s="117">
        <v>1389</v>
      </c>
    </row>
    <row x14ac:dyDescent="0.25" r="117" customHeight="1" ht="14.25">
      <c r="A117" s="165" t="s">
        <v>108</v>
      </c>
      <c r="B117" s="166" t="s">
        <v>180</v>
      </c>
      <c r="C117" s="167">
        <v>24478</v>
      </c>
      <c r="D117" s="167">
        <v>21666</v>
      </c>
      <c r="E117" s="168">
        <v>0.1297889319786645</v>
      </c>
      <c r="F117" s="167">
        <v>682803</v>
      </c>
      <c r="G117" s="167">
        <v>733104</v>
      </c>
      <c r="H117" s="168">
        <v>-0.07</v>
      </c>
      <c r="I117" s="167">
        <v>0</v>
      </c>
      <c r="J117" s="117">
        <v>65000</v>
      </c>
      <c r="K117" s="117">
        <v>2532</v>
      </c>
    </row>
    <row x14ac:dyDescent="0.25" r="118" customHeight="1" ht="14.25">
      <c r="A118" s="165" t="s">
        <v>108</v>
      </c>
      <c r="B118" s="166" t="s">
        <v>181</v>
      </c>
      <c r="C118" s="167">
        <v>4818</v>
      </c>
      <c r="D118" s="167">
        <v>5000</v>
      </c>
      <c r="E118" s="168">
        <v>-0.03625201110839804</v>
      </c>
      <c r="F118" s="167">
        <v>154410</v>
      </c>
      <c r="G118" s="167">
        <v>173285</v>
      </c>
      <c r="H118" s="168">
        <v>-0.11</v>
      </c>
      <c r="I118" s="167">
        <v>0</v>
      </c>
      <c r="J118" s="117">
        <v>15000</v>
      </c>
      <c r="K118" s="117">
        <v>636</v>
      </c>
    </row>
    <row x14ac:dyDescent="0.25" r="119" customHeight="1" ht="14.25">
      <c r="A119" s="165" t="s">
        <v>108</v>
      </c>
      <c r="B119" s="166" t="s">
        <v>182</v>
      </c>
      <c r="C119" s="167">
        <v>4605</v>
      </c>
      <c r="D119" s="167">
        <v>3333</v>
      </c>
      <c r="E119" s="168">
        <v>0.3816889831542993</v>
      </c>
      <c r="F119" s="167">
        <v>55734</v>
      </c>
      <c r="G119" s="167">
        <v>67113</v>
      </c>
      <c r="H119" s="168">
        <v>-0.17</v>
      </c>
      <c r="I119" s="167">
        <v>0</v>
      </c>
      <c r="J119" s="117">
        <v>9999</v>
      </c>
      <c r="K119" s="117">
        <v>337</v>
      </c>
    </row>
    <row x14ac:dyDescent="0.25" r="120" customHeight="1" ht="14.25">
      <c r="A120" s="165" t="s">
        <v>108</v>
      </c>
      <c r="B120" s="166" t="s">
        <v>183</v>
      </c>
      <c r="C120" s="167">
        <v>0</v>
      </c>
      <c r="D120" s="167">
        <v>0</v>
      </c>
      <c r="E120" s="168"/>
      <c r="F120" s="167">
        <v>0</v>
      </c>
      <c r="G120" s="167">
        <v>6394</v>
      </c>
      <c r="H120" s="168">
        <v>-1</v>
      </c>
      <c r="I120" s="167">
        <v>0</v>
      </c>
      <c r="J120" s="117">
        <v>0</v>
      </c>
      <c r="K120" s="117">
        <v>0</v>
      </c>
    </row>
    <row x14ac:dyDescent="0.25" r="121" customHeight="1" ht="14.25">
      <c r="A121" s="169" t="s">
        <v>108</v>
      </c>
      <c r="B121" s="170" t="s">
        <v>184</v>
      </c>
      <c r="C121" s="171">
        <v>93644</v>
      </c>
      <c r="D121" s="171">
        <v>88666</v>
      </c>
      <c r="E121" s="172">
        <v>0.05613556390977292</v>
      </c>
      <c r="F121" s="171">
        <v>2978545</v>
      </c>
      <c r="G121" s="171">
        <v>3158685</v>
      </c>
      <c r="H121" s="172">
        <v>-0.06</v>
      </c>
      <c r="I121" s="171">
        <v>0</v>
      </c>
      <c r="J121" s="117">
        <v>266000</v>
      </c>
      <c r="K121" s="117">
        <v>10772</v>
      </c>
    </row>
    <row x14ac:dyDescent="0.25" r="122" customHeight="1" ht="14.25">
      <c r="A122" s="161" t="s">
        <v>111</v>
      </c>
      <c r="B122" s="162" t="s">
        <v>30</v>
      </c>
      <c r="C122" s="163">
        <v>18685</v>
      </c>
      <c r="D122" s="163">
        <v>15000</v>
      </c>
      <c r="E122" s="164">
        <v>0.2457233398437535</v>
      </c>
      <c r="F122" s="163">
        <v>543818</v>
      </c>
      <c r="G122" s="163">
        <v>501434</v>
      </c>
      <c r="H122" s="164">
        <v>0.08</v>
      </c>
      <c r="I122" s="163">
        <v>0</v>
      </c>
      <c r="J122" s="117">
        <v>45000</v>
      </c>
      <c r="K122" s="117">
        <v>1644</v>
      </c>
    </row>
    <row x14ac:dyDescent="0.25" r="123" customHeight="1" ht="14.25">
      <c r="A123" s="165" t="s">
        <v>111</v>
      </c>
      <c r="B123" s="166" t="s">
        <v>179</v>
      </c>
      <c r="C123" s="167">
        <v>5213</v>
      </c>
      <c r="D123" s="167">
        <v>5000</v>
      </c>
      <c r="E123" s="168">
        <v>0.04276799278259213</v>
      </c>
      <c r="F123" s="167">
        <v>235982</v>
      </c>
      <c r="G123" s="167">
        <v>209467</v>
      </c>
      <c r="H123" s="168">
        <v>0.13</v>
      </c>
      <c r="I123" s="167">
        <v>0</v>
      </c>
      <c r="J123" s="117">
        <v>15000</v>
      </c>
      <c r="K123" s="117">
        <v>611</v>
      </c>
    </row>
    <row x14ac:dyDescent="0.25" r="124" customHeight="1" ht="14.25">
      <c r="A124" s="165" t="s">
        <v>111</v>
      </c>
      <c r="B124" s="166" t="s">
        <v>33</v>
      </c>
      <c r="C124" s="167">
        <v>8784</v>
      </c>
      <c r="D124" s="167">
        <v>11000</v>
      </c>
      <c r="E124" s="168">
        <v>-0.2014090985384854</v>
      </c>
      <c r="F124" s="167">
        <v>498140</v>
      </c>
      <c r="G124" s="167">
        <v>496051</v>
      </c>
      <c r="H124" s="168">
        <v>0</v>
      </c>
      <c r="I124" s="167">
        <v>0</v>
      </c>
      <c r="J124" s="117">
        <v>33000</v>
      </c>
      <c r="K124" s="117">
        <v>1513</v>
      </c>
    </row>
    <row x14ac:dyDescent="0.25" r="125" customHeight="1" ht="14.25">
      <c r="A125" s="165" t="s">
        <v>111</v>
      </c>
      <c r="B125" s="166" t="s">
        <v>180</v>
      </c>
      <c r="C125" s="167">
        <v>19496</v>
      </c>
      <c r="D125" s="167">
        <v>16000</v>
      </c>
      <c r="E125" s="168">
        <v>0.2185262498855562</v>
      </c>
      <c r="F125" s="167">
        <v>589924</v>
      </c>
      <c r="G125" s="167">
        <v>521535</v>
      </c>
      <c r="H125" s="168">
        <v>0.13</v>
      </c>
      <c r="I125" s="167">
        <v>0</v>
      </c>
      <c r="J125" s="117">
        <v>48000</v>
      </c>
      <c r="K125" s="117">
        <v>1781</v>
      </c>
    </row>
    <row x14ac:dyDescent="0.25" r="126" customHeight="1" ht="14.25">
      <c r="A126" s="165" t="s">
        <v>111</v>
      </c>
      <c r="B126" s="166" t="s">
        <v>181</v>
      </c>
      <c r="C126" s="167">
        <v>5638</v>
      </c>
      <c r="D126" s="167">
        <v>5333</v>
      </c>
      <c r="E126" s="168">
        <v>0.05726373994350564</v>
      </c>
      <c r="F126" s="167">
        <v>255430</v>
      </c>
      <c r="G126" s="167">
        <v>203324</v>
      </c>
      <c r="H126" s="168">
        <v>0.26</v>
      </c>
      <c r="I126" s="167">
        <v>0</v>
      </c>
      <c r="J126" s="117">
        <v>15999</v>
      </c>
      <c r="K126" s="117">
        <v>647</v>
      </c>
    </row>
    <row x14ac:dyDescent="0.25" r="127" customHeight="1" ht="14.25">
      <c r="A127" s="165" t="s">
        <v>111</v>
      </c>
      <c r="B127" s="166" t="s">
        <v>182</v>
      </c>
      <c r="C127" s="167">
        <v>6632</v>
      </c>
      <c r="D127" s="167">
        <v>3333</v>
      </c>
      <c r="E127" s="168">
        <v>0.989662969970704</v>
      </c>
      <c r="F127" s="167">
        <v>150157</v>
      </c>
      <c r="G127" s="167">
        <v>115281</v>
      </c>
      <c r="H127" s="168">
        <v>0.3</v>
      </c>
      <c r="I127" s="167">
        <v>0</v>
      </c>
      <c r="J127" s="117">
        <v>9999</v>
      </c>
      <c r="K127" s="117">
        <v>210</v>
      </c>
    </row>
    <row x14ac:dyDescent="0.25" r="128" customHeight="1" ht="14.25">
      <c r="A128" s="165" t="s">
        <v>111</v>
      </c>
      <c r="B128" s="166" t="s">
        <v>183</v>
      </c>
      <c r="C128" s="167">
        <v>0</v>
      </c>
      <c r="D128" s="167">
        <v>0</v>
      </c>
      <c r="E128" s="168"/>
      <c r="F128" s="167">
        <v>0</v>
      </c>
      <c r="G128" s="167">
        <v>0</v>
      </c>
      <c r="H128" s="168" t="s">
        <v>59</v>
      </c>
      <c r="I128" s="167">
        <v>0</v>
      </c>
      <c r="J128" s="117">
        <v>0</v>
      </c>
      <c r="K128" s="117">
        <v>0</v>
      </c>
    </row>
    <row x14ac:dyDescent="0.25" r="129" customHeight="1" ht="14.25">
      <c r="A129" s="169" t="s">
        <v>111</v>
      </c>
      <c r="B129" s="170" t="s">
        <v>184</v>
      </c>
      <c r="C129" s="171">
        <v>83431</v>
      </c>
      <c r="D129" s="171">
        <v>82000</v>
      </c>
      <c r="E129" s="172">
        <v>0.01745792682926828</v>
      </c>
      <c r="F129" s="171">
        <v>3109631</v>
      </c>
      <c r="G129" s="171">
        <v>2973440</v>
      </c>
      <c r="H129" s="172">
        <v>0.05</v>
      </c>
      <c r="I129" s="171">
        <v>0</v>
      </c>
      <c r="J129" s="117">
        <v>246000</v>
      </c>
      <c r="K129" s="117">
        <v>10160</v>
      </c>
    </row>
    <row x14ac:dyDescent="0.25" r="130" customHeight="1" ht="14.25">
      <c r="A130" s="161" t="s">
        <v>113</v>
      </c>
      <c r="B130" s="162" t="s">
        <v>30</v>
      </c>
      <c r="C130" s="163">
        <v>13400</v>
      </c>
      <c r="D130" s="163">
        <v>14333</v>
      </c>
      <c r="E130" s="164">
        <v>-0.06510372569949086</v>
      </c>
      <c r="F130" s="163">
        <v>389015</v>
      </c>
      <c r="G130" s="163">
        <v>233185</v>
      </c>
      <c r="H130" s="164">
        <v>0.67</v>
      </c>
      <c r="I130" s="163">
        <v>0</v>
      </c>
      <c r="J130" s="117">
        <v>42999</v>
      </c>
      <c r="K130" s="117">
        <v>1849</v>
      </c>
    </row>
    <row x14ac:dyDescent="0.25" r="131" customHeight="1" ht="14.25">
      <c r="A131" s="165" t="s">
        <v>113</v>
      </c>
      <c r="B131" s="166" t="s">
        <v>179</v>
      </c>
      <c r="C131" s="167">
        <v>4490</v>
      </c>
      <c r="D131" s="167">
        <v>3666</v>
      </c>
      <c r="E131" s="168">
        <v>0.2247690804221396</v>
      </c>
      <c r="F131" s="167">
        <v>114662</v>
      </c>
      <c r="G131" s="167">
        <v>82676</v>
      </c>
      <c r="H131" s="168">
        <v>0.39</v>
      </c>
      <c r="I131" s="167">
        <v>0</v>
      </c>
      <c r="J131" s="117">
        <v>11000</v>
      </c>
      <c r="K131" s="117">
        <v>406</v>
      </c>
    </row>
    <row x14ac:dyDescent="0.25" r="132" customHeight="1" ht="14.25">
      <c r="A132" s="165" t="s">
        <v>113</v>
      </c>
      <c r="B132" s="166" t="s">
        <v>33</v>
      </c>
      <c r="C132" s="167">
        <v>4111</v>
      </c>
      <c r="D132" s="167">
        <v>8333</v>
      </c>
      <c r="E132" s="168">
        <v>-0.5066464010620119</v>
      </c>
      <c r="F132" s="167">
        <v>299124</v>
      </c>
      <c r="G132" s="167">
        <v>132287</v>
      </c>
      <c r="H132" s="168">
        <v>1.26</v>
      </c>
      <c r="I132" s="167">
        <v>0</v>
      </c>
      <c r="J132" s="117">
        <v>24999</v>
      </c>
      <c r="K132" s="117">
        <v>1305</v>
      </c>
    </row>
    <row x14ac:dyDescent="0.25" r="133" customHeight="1" ht="14.25">
      <c r="A133" s="165" t="s">
        <v>113</v>
      </c>
      <c r="B133" s="166" t="s">
        <v>180</v>
      </c>
      <c r="C133" s="167">
        <v>10158</v>
      </c>
      <c r="D133" s="167">
        <v>10666</v>
      </c>
      <c r="E133" s="168">
        <v>-0.04765281742811234</v>
      </c>
      <c r="F133" s="167">
        <v>292725</v>
      </c>
      <c r="G133" s="167">
        <v>223881</v>
      </c>
      <c r="H133" s="168">
        <v>0.31</v>
      </c>
      <c r="I133" s="167">
        <v>0</v>
      </c>
      <c r="J133" s="117">
        <v>32000</v>
      </c>
      <c r="K133" s="117">
        <v>1365</v>
      </c>
    </row>
    <row x14ac:dyDescent="0.25" r="134" customHeight="1" ht="14.25">
      <c r="A134" s="165" t="s">
        <v>113</v>
      </c>
      <c r="B134" s="166" t="s">
        <v>181</v>
      </c>
      <c r="C134" s="167">
        <v>3188</v>
      </c>
      <c r="D134" s="167">
        <v>5000</v>
      </c>
      <c r="E134" s="168">
        <v>-0.3622479911804201</v>
      </c>
      <c r="F134" s="167">
        <v>90622</v>
      </c>
      <c r="G134" s="167">
        <v>77854</v>
      </c>
      <c r="H134" s="168">
        <v>0.16</v>
      </c>
      <c r="I134" s="167">
        <v>0</v>
      </c>
      <c r="J134" s="117">
        <v>15000</v>
      </c>
      <c r="K134" s="117">
        <v>738</v>
      </c>
    </row>
    <row x14ac:dyDescent="0.25" r="135" customHeight="1" ht="14.25">
      <c r="A135" s="165" t="s">
        <v>113</v>
      </c>
      <c r="B135" s="166" t="s">
        <v>182</v>
      </c>
      <c r="C135" s="167">
        <v>9003</v>
      </c>
      <c r="D135" s="167">
        <v>4333</v>
      </c>
      <c r="E135" s="168">
        <v>1.077758439284105</v>
      </c>
      <c r="F135" s="167">
        <v>105174</v>
      </c>
      <c r="G135" s="167">
        <v>71091</v>
      </c>
      <c r="H135" s="168">
        <v>0.48</v>
      </c>
      <c r="I135" s="167">
        <v>0</v>
      </c>
      <c r="J135" s="117">
        <v>12999</v>
      </c>
      <c r="K135" s="117">
        <v>249</v>
      </c>
    </row>
    <row x14ac:dyDescent="0.25" r="136" customHeight="1" ht="14.25">
      <c r="A136" s="165" t="s">
        <v>113</v>
      </c>
      <c r="B136" s="166" t="s">
        <v>183</v>
      </c>
      <c r="C136" s="167">
        <v>0</v>
      </c>
      <c r="D136" s="167">
        <v>0</v>
      </c>
      <c r="E136" s="168"/>
      <c r="F136" s="167">
        <v>0</v>
      </c>
      <c r="G136" s="167">
        <v>0</v>
      </c>
      <c r="H136" s="168" t="s">
        <v>59</v>
      </c>
      <c r="I136" s="167">
        <v>0</v>
      </c>
      <c r="J136" s="117">
        <v>0</v>
      </c>
      <c r="K136" s="117">
        <v>0</v>
      </c>
    </row>
    <row x14ac:dyDescent="0.25" r="137" customHeight="1" ht="14.25">
      <c r="A137" s="169" t="s">
        <v>113</v>
      </c>
      <c r="B137" s="170" t="s">
        <v>184</v>
      </c>
      <c r="C137" s="171">
        <v>59299</v>
      </c>
      <c r="D137" s="171">
        <v>60000</v>
      </c>
      <c r="E137" s="172">
        <v>-0.01167599999999991</v>
      </c>
      <c r="F137" s="171">
        <v>1736226</v>
      </c>
      <c r="G137" s="171">
        <v>1224649</v>
      </c>
      <c r="H137" s="172">
        <v>0.42</v>
      </c>
      <c r="I137" s="171">
        <v>0</v>
      </c>
      <c r="J137" s="117">
        <v>180000</v>
      </c>
      <c r="K137" s="117">
        <v>7543</v>
      </c>
    </row>
    <row x14ac:dyDescent="0.25" r="138" customHeight="1" ht="14.25">
      <c r="A138" s="161" t="s">
        <v>115</v>
      </c>
      <c r="B138" s="162" t="s">
        <v>30</v>
      </c>
      <c r="C138" s="163">
        <v>14407</v>
      </c>
      <c r="D138" s="163">
        <v>20000</v>
      </c>
      <c r="E138" s="164">
        <v>-0.27961612475586</v>
      </c>
      <c r="F138" s="163">
        <v>286443</v>
      </c>
      <c r="G138" s="163">
        <v>395525</v>
      </c>
      <c r="H138" s="164">
        <v>-0.28</v>
      </c>
      <c r="I138" s="163">
        <v>1091</v>
      </c>
      <c r="J138" s="117">
        <v>60000</v>
      </c>
      <c r="K138" s="117">
        <v>2849</v>
      </c>
    </row>
    <row x14ac:dyDescent="0.25" r="139" customHeight="1" ht="14.25">
      <c r="A139" s="165" t="s">
        <v>115</v>
      </c>
      <c r="B139" s="166" t="s">
        <v>179</v>
      </c>
      <c r="C139" s="167">
        <v>2923</v>
      </c>
      <c r="D139" s="167">
        <v>4000</v>
      </c>
      <c r="E139" s="168">
        <v>-0.2690858167012533</v>
      </c>
      <c r="F139" s="167">
        <v>136262</v>
      </c>
      <c r="G139" s="167">
        <v>141533</v>
      </c>
      <c r="H139" s="168">
        <v>-0.04</v>
      </c>
      <c r="I139" s="167">
        <v>282</v>
      </c>
      <c r="J139" s="117">
        <v>12000</v>
      </c>
      <c r="K139" s="117">
        <v>567</v>
      </c>
    </row>
    <row x14ac:dyDescent="0.25" r="140" customHeight="1" ht="14.25">
      <c r="A140" s="165" t="s">
        <v>115</v>
      </c>
      <c r="B140" s="166" t="s">
        <v>33</v>
      </c>
      <c r="C140" s="167">
        <v>4626</v>
      </c>
      <c r="D140" s="167">
        <v>8666</v>
      </c>
      <c r="E140" s="168">
        <v>-0.4661811588727509</v>
      </c>
      <c r="F140" s="167">
        <v>156352</v>
      </c>
      <c r="G140" s="167">
        <v>320305</v>
      </c>
      <c r="H140" s="168">
        <v>-0.51</v>
      </c>
      <c r="I140" s="167">
        <v>585</v>
      </c>
      <c r="J140" s="117">
        <v>26000</v>
      </c>
      <c r="K140" s="117">
        <v>1335</v>
      </c>
    </row>
    <row x14ac:dyDescent="0.25" r="141" customHeight="1" ht="14.25">
      <c r="A141" s="165" t="s">
        <v>115</v>
      </c>
      <c r="B141" s="166" t="s">
        <v>180</v>
      </c>
      <c r="C141" s="167">
        <v>0</v>
      </c>
      <c r="D141" s="167">
        <v>0</v>
      </c>
      <c r="E141" s="168"/>
      <c r="F141" s="167">
        <v>0</v>
      </c>
      <c r="G141" s="167">
        <v>0</v>
      </c>
      <c r="H141" s="168" t="s">
        <v>59</v>
      </c>
      <c r="I141" s="167">
        <v>0</v>
      </c>
      <c r="J141" s="117">
        <v>0</v>
      </c>
      <c r="K141" s="117">
        <v>0</v>
      </c>
    </row>
    <row x14ac:dyDescent="0.25" r="142" customHeight="1" ht="14.25">
      <c r="A142" s="165" t="s">
        <v>115</v>
      </c>
      <c r="B142" s="166" t="s">
        <v>181</v>
      </c>
      <c r="C142" s="167">
        <v>0</v>
      </c>
      <c r="D142" s="167">
        <v>0</v>
      </c>
      <c r="E142" s="168"/>
      <c r="F142" s="167">
        <v>0</v>
      </c>
      <c r="G142" s="167">
        <v>0</v>
      </c>
      <c r="H142" s="168" t="s">
        <v>59</v>
      </c>
      <c r="I142" s="167">
        <v>0</v>
      </c>
      <c r="J142" s="117">
        <v>0</v>
      </c>
      <c r="K142" s="117">
        <v>0</v>
      </c>
    </row>
    <row x14ac:dyDescent="0.25" r="143" customHeight="1" ht="14.25">
      <c r="A143" s="165" t="s">
        <v>115</v>
      </c>
      <c r="B143" s="166" t="s">
        <v>182</v>
      </c>
      <c r="C143" s="167">
        <v>0</v>
      </c>
      <c r="D143" s="167">
        <v>0</v>
      </c>
      <c r="E143" s="168"/>
      <c r="F143" s="167">
        <v>0</v>
      </c>
      <c r="G143" s="167">
        <v>0</v>
      </c>
      <c r="H143" s="168" t="s">
        <v>59</v>
      </c>
      <c r="I143" s="167">
        <v>0</v>
      </c>
      <c r="J143" s="117">
        <v>0</v>
      </c>
      <c r="K143" s="117">
        <v>0</v>
      </c>
    </row>
    <row x14ac:dyDescent="0.25" r="144" customHeight="1" ht="14.25">
      <c r="A144" s="165" t="s">
        <v>115</v>
      </c>
      <c r="B144" s="166" t="s">
        <v>183</v>
      </c>
      <c r="C144" s="167">
        <v>0</v>
      </c>
      <c r="D144" s="167">
        <v>0</v>
      </c>
      <c r="E144" s="168"/>
      <c r="F144" s="167">
        <v>0</v>
      </c>
      <c r="G144" s="167">
        <v>0</v>
      </c>
      <c r="H144" s="168" t="s">
        <v>59</v>
      </c>
      <c r="I144" s="167">
        <v>0</v>
      </c>
      <c r="J144" s="117">
        <v>0</v>
      </c>
      <c r="K144" s="117">
        <v>0</v>
      </c>
    </row>
    <row x14ac:dyDescent="0.25" r="145" customHeight="1" ht="14.25">
      <c r="A145" s="169" t="s">
        <v>115</v>
      </c>
      <c r="B145" s="170" t="s">
        <v>184</v>
      </c>
      <c r="C145" s="171">
        <v>42883</v>
      </c>
      <c r="D145" s="171">
        <v>38000</v>
      </c>
      <c r="E145" s="172">
        <v>0.128521644736842</v>
      </c>
      <c r="F145" s="171">
        <v>830230</v>
      </c>
      <c r="G145" s="171">
        <v>1214826</v>
      </c>
      <c r="H145" s="172">
        <v>-0.32</v>
      </c>
      <c r="I145" s="171">
        <v>5247</v>
      </c>
      <c r="J145" s="117">
        <v>114000</v>
      </c>
      <c r="K145" s="117">
        <v>4444</v>
      </c>
    </row>
    <row x14ac:dyDescent="0.25" r="146" customHeight="1" ht="14.25">
      <c r="A146" s="161" t="s">
        <v>117</v>
      </c>
      <c r="B146" s="162" t="s">
        <v>30</v>
      </c>
      <c r="C146" s="163">
        <v>0</v>
      </c>
      <c r="D146" s="163">
        <v>0</v>
      </c>
      <c r="E146" s="164"/>
      <c r="F146" s="163">
        <v>17155</v>
      </c>
      <c r="G146" s="163">
        <v>15224</v>
      </c>
      <c r="H146" s="164">
        <v>0.13</v>
      </c>
      <c r="I146" s="163">
        <v>0</v>
      </c>
      <c r="J146" s="117">
        <v>0</v>
      </c>
      <c r="K146" s="117">
        <v>0</v>
      </c>
    </row>
    <row x14ac:dyDescent="0.25" r="147" customHeight="1" ht="14.25">
      <c r="A147" s="165" t="s">
        <v>117</v>
      </c>
      <c r="B147" s="166" t="s">
        <v>179</v>
      </c>
      <c r="C147" s="167">
        <v>0</v>
      </c>
      <c r="D147" s="167">
        <v>0</v>
      </c>
      <c r="E147" s="168"/>
      <c r="F147" s="167">
        <v>6528</v>
      </c>
      <c r="G147" s="167">
        <v>4486</v>
      </c>
      <c r="H147" s="168">
        <v>0.46</v>
      </c>
      <c r="I147" s="167">
        <v>0</v>
      </c>
      <c r="J147" s="117">
        <v>0</v>
      </c>
      <c r="K147" s="117">
        <v>0</v>
      </c>
    </row>
    <row x14ac:dyDescent="0.25" r="148" customHeight="1" ht="14.25">
      <c r="A148" s="165" t="s">
        <v>117</v>
      </c>
      <c r="B148" s="166" t="s">
        <v>33</v>
      </c>
      <c r="C148" s="167">
        <v>0</v>
      </c>
      <c r="D148" s="167">
        <v>0</v>
      </c>
      <c r="E148" s="168"/>
      <c r="F148" s="167">
        <v>20351</v>
      </c>
      <c r="G148" s="167">
        <v>7170</v>
      </c>
      <c r="H148" s="168">
        <v>1.84</v>
      </c>
      <c r="I148" s="167">
        <v>0</v>
      </c>
      <c r="J148" s="117">
        <v>0</v>
      </c>
      <c r="K148" s="117">
        <v>0</v>
      </c>
    </row>
    <row x14ac:dyDescent="0.25" r="149" customHeight="1" ht="14.25">
      <c r="A149" s="165" t="s">
        <v>117</v>
      </c>
      <c r="B149" s="166" t="s">
        <v>180</v>
      </c>
      <c r="C149" s="167">
        <v>19573</v>
      </c>
      <c r="D149" s="167">
        <v>25000</v>
      </c>
      <c r="E149" s="168">
        <v>-0.2170418566385909</v>
      </c>
      <c r="F149" s="167">
        <v>663885</v>
      </c>
      <c r="G149" s="167">
        <v>654209</v>
      </c>
      <c r="H149" s="168">
        <v>0.01</v>
      </c>
      <c r="I149" s="167">
        <v>2114</v>
      </c>
      <c r="J149" s="117">
        <v>75000</v>
      </c>
      <c r="K149" s="117">
        <v>3464</v>
      </c>
    </row>
    <row x14ac:dyDescent="0.25" r="150" customHeight="1" ht="14.25">
      <c r="A150" s="165" t="s">
        <v>117</v>
      </c>
      <c r="B150" s="166" t="s">
        <v>181</v>
      </c>
      <c r="C150" s="167">
        <v>4738</v>
      </c>
      <c r="D150" s="167">
        <v>6666</v>
      </c>
      <c r="E150" s="168">
        <v>-0.2892325053215024</v>
      </c>
      <c r="F150" s="167">
        <v>156162</v>
      </c>
      <c r="G150" s="167">
        <v>162520</v>
      </c>
      <c r="H150" s="168">
        <v>-0.04</v>
      </c>
      <c r="I150" s="167">
        <v>312</v>
      </c>
      <c r="J150" s="117">
        <v>20000</v>
      </c>
      <c r="K150" s="117">
        <v>953</v>
      </c>
    </row>
    <row x14ac:dyDescent="0.25" r="151" customHeight="1" ht="14.25">
      <c r="A151" s="165" t="s">
        <v>117</v>
      </c>
      <c r="B151" s="166" t="s">
        <v>182</v>
      </c>
      <c r="C151" s="167">
        <v>16292</v>
      </c>
      <c r="D151" s="167">
        <v>11000</v>
      </c>
      <c r="E151" s="168">
        <v>0.4811179216382575</v>
      </c>
      <c r="F151" s="167">
        <v>287073</v>
      </c>
      <c r="G151" s="167">
        <v>259259</v>
      </c>
      <c r="H151" s="168">
        <v>0.11</v>
      </c>
      <c r="I151" s="167">
        <v>512</v>
      </c>
      <c r="J151" s="117">
        <v>33000</v>
      </c>
      <c r="K151" s="117">
        <v>1044</v>
      </c>
    </row>
    <row x14ac:dyDescent="0.25" r="152" customHeight="1" ht="14.25">
      <c r="A152" s="165" t="s">
        <v>117</v>
      </c>
      <c r="B152" s="166" t="s">
        <v>183</v>
      </c>
      <c r="C152" s="167">
        <v>0</v>
      </c>
      <c r="D152" s="167">
        <v>0</v>
      </c>
      <c r="E152" s="168"/>
      <c r="F152" s="167">
        <v>0</v>
      </c>
      <c r="G152" s="167">
        <v>0</v>
      </c>
      <c r="H152" s="168" t="s">
        <v>59</v>
      </c>
      <c r="I152" s="167">
        <v>0</v>
      </c>
      <c r="J152" s="117">
        <v>0</v>
      </c>
      <c r="K152" s="117">
        <v>0</v>
      </c>
    </row>
    <row x14ac:dyDescent="0.25" r="153" customHeight="1" ht="14.25">
      <c r="A153" s="169" t="s">
        <v>117</v>
      </c>
      <c r="B153" s="170" t="s">
        <v>184</v>
      </c>
      <c r="C153" s="171">
        <v>69857</v>
      </c>
      <c r="D153" s="171">
        <v>76666</v>
      </c>
      <c r="E153" s="172">
        <v>-0.0888211652173918</v>
      </c>
      <c r="F153" s="171">
        <v>2005743</v>
      </c>
      <c r="G153" s="171">
        <v>1984786</v>
      </c>
      <c r="H153" s="172">
        <v>0.01</v>
      </c>
      <c r="I153" s="171">
        <v>6002</v>
      </c>
      <c r="J153" s="117">
        <v>230000</v>
      </c>
      <c r="K153" s="117">
        <v>10008</v>
      </c>
    </row>
    <row x14ac:dyDescent="0.25" r="154" customHeight="1" ht="14.25">
      <c r="A154" s="161" t="s">
        <v>120</v>
      </c>
      <c r="B154" s="162" t="s">
        <v>30</v>
      </c>
      <c r="C154" s="163">
        <v>105154</v>
      </c>
      <c r="D154" s="163">
        <v>116333</v>
      </c>
      <c r="E154" s="164">
        <v>-0.09609504018561466</v>
      </c>
      <c r="F154" s="163">
        <v>3151826</v>
      </c>
      <c r="G154" s="163">
        <v>3166615</v>
      </c>
      <c r="H154" s="164">
        <v>0</v>
      </c>
      <c r="I154" s="163">
        <v>9647</v>
      </c>
      <c r="J154" s="117">
        <v>348999</v>
      </c>
      <c r="K154" s="117">
        <v>15240</v>
      </c>
    </row>
    <row x14ac:dyDescent="0.25" r="155" customHeight="1" ht="14.25">
      <c r="A155" s="165" t="s">
        <v>120</v>
      </c>
      <c r="B155" s="166" t="s">
        <v>179</v>
      </c>
      <c r="C155" s="167">
        <v>33741</v>
      </c>
      <c r="D155" s="167">
        <v>40666</v>
      </c>
      <c r="E155" s="168">
        <v>-0.1702933588340648</v>
      </c>
      <c r="F155" s="167">
        <v>1424212</v>
      </c>
      <c r="G155" s="167">
        <v>1267521</v>
      </c>
      <c r="H155" s="168">
        <v>0.12</v>
      </c>
      <c r="I155" s="167">
        <v>2168</v>
      </c>
      <c r="J155" s="117">
        <v>122000</v>
      </c>
      <c r="K155" s="117">
        <v>5516</v>
      </c>
    </row>
    <row x14ac:dyDescent="0.25" r="156" customHeight="1" ht="14.25">
      <c r="A156" s="165" t="s">
        <v>120</v>
      </c>
      <c r="B156" s="166" t="s">
        <v>33</v>
      </c>
      <c r="C156" s="167">
        <v>49957</v>
      </c>
      <c r="D156" s="167">
        <v>84666</v>
      </c>
      <c r="E156" s="168">
        <v>-0.4099510170901853</v>
      </c>
      <c r="F156" s="167">
        <v>2144834</v>
      </c>
      <c r="G156" s="167">
        <v>2396270</v>
      </c>
      <c r="H156" s="168">
        <v>-0.1</v>
      </c>
      <c r="I156" s="167">
        <v>5844</v>
      </c>
      <c r="J156" s="117">
        <v>254000</v>
      </c>
      <c r="K156" s="117">
        <v>12752</v>
      </c>
    </row>
    <row x14ac:dyDescent="0.25" r="157" customHeight="1" ht="14.25">
      <c r="A157" s="165" t="s">
        <v>120</v>
      </c>
      <c r="B157" s="166" t="s">
        <v>180</v>
      </c>
      <c r="C157" s="167">
        <v>112135</v>
      </c>
      <c r="D157" s="167">
        <v>114333</v>
      </c>
      <c r="E157" s="168">
        <v>-0.01922502793237035</v>
      </c>
      <c r="F157" s="167">
        <v>3134803</v>
      </c>
      <c r="G157" s="167">
        <v>3058615</v>
      </c>
      <c r="H157" s="168">
        <v>0.02</v>
      </c>
      <c r="I157" s="167">
        <v>9467</v>
      </c>
      <c r="J157" s="117">
        <v>342999</v>
      </c>
      <c r="K157" s="117">
        <v>14429</v>
      </c>
    </row>
    <row x14ac:dyDescent="0.25" r="158" customHeight="1" ht="14.25">
      <c r="A158" s="165" t="s">
        <v>120</v>
      </c>
      <c r="B158" s="166" t="s">
        <v>181</v>
      </c>
      <c r="C158" s="167">
        <v>43833</v>
      </c>
      <c r="D158" s="167">
        <v>45666</v>
      </c>
      <c r="E158" s="168">
        <v>-0.04014496249111454</v>
      </c>
      <c r="F158" s="167">
        <v>1129502</v>
      </c>
      <c r="G158" s="167">
        <v>1159734</v>
      </c>
      <c r="H158" s="168">
        <v>-0.03</v>
      </c>
      <c r="I158" s="167">
        <v>4168</v>
      </c>
      <c r="J158" s="117">
        <v>137000</v>
      </c>
      <c r="K158" s="117">
        <v>5822</v>
      </c>
    </row>
    <row x14ac:dyDescent="0.25" r="159" customHeight="1" ht="14.25">
      <c r="A159" s="165" t="s">
        <v>120</v>
      </c>
      <c r="B159" s="166" t="s">
        <v>182</v>
      </c>
      <c r="C159" s="167">
        <v>80269</v>
      </c>
      <c r="D159" s="167">
        <v>46666</v>
      </c>
      <c r="E159" s="168">
        <v>0.720054051500788</v>
      </c>
      <c r="F159" s="167">
        <v>794471</v>
      </c>
      <c r="G159" s="167">
        <v>738767</v>
      </c>
      <c r="H159" s="168">
        <v>0.08</v>
      </c>
      <c r="I159" s="167">
        <v>7038</v>
      </c>
      <c r="J159" s="117">
        <v>140000</v>
      </c>
      <c r="K159" s="117">
        <v>3733</v>
      </c>
    </row>
    <row x14ac:dyDescent="0.25" r="160" customHeight="1" ht="14.25">
      <c r="A160" s="165" t="s">
        <v>120</v>
      </c>
      <c r="B160" s="166" t="s">
        <v>183</v>
      </c>
      <c r="C160" s="167">
        <v>0</v>
      </c>
      <c r="D160" s="167">
        <v>0</v>
      </c>
      <c r="E160" s="168"/>
      <c r="F160" s="167">
        <v>0</v>
      </c>
      <c r="G160" s="167">
        <v>0</v>
      </c>
      <c r="H160" s="168" t="s">
        <v>59</v>
      </c>
      <c r="I160" s="167">
        <v>0</v>
      </c>
      <c r="J160" s="117">
        <v>0</v>
      </c>
      <c r="K160" s="117">
        <v>0</v>
      </c>
    </row>
    <row x14ac:dyDescent="0.25" r="161" customHeight="1" ht="14.25">
      <c r="A161" s="169" t="s">
        <v>120</v>
      </c>
      <c r="B161" s="170" t="s">
        <v>184</v>
      </c>
      <c r="C161" s="171">
        <v>620267</v>
      </c>
      <c r="D161" s="171">
        <v>573666</v>
      </c>
      <c r="E161" s="172">
        <v>0.08123366257989484</v>
      </c>
      <c r="F161" s="171">
        <v>16480184</v>
      </c>
      <c r="G161" s="171">
        <v>17160489</v>
      </c>
      <c r="H161" s="172">
        <v>-0.04</v>
      </c>
      <c r="I161" s="171">
        <v>61796</v>
      </c>
      <c r="J161" s="117">
        <v>1721000</v>
      </c>
      <c r="K161" s="117">
        <v>68795</v>
      </c>
    </row>
    <row x14ac:dyDescent="0.25" r="162" customHeight="1" ht="14.25">
      <c r="A162" s="161" t="s">
        <v>122</v>
      </c>
      <c r="B162" s="162" t="s">
        <v>30</v>
      </c>
      <c r="C162" s="163">
        <v>111794</v>
      </c>
      <c r="D162" s="163">
        <v>121000</v>
      </c>
      <c r="E162" s="164">
        <v>-0.07607581847438005</v>
      </c>
      <c r="F162" s="163">
        <v>3353832</v>
      </c>
      <c r="G162" s="163">
        <v>3215748</v>
      </c>
      <c r="H162" s="164">
        <v>0.04</v>
      </c>
      <c r="I162" s="163">
        <v>8840</v>
      </c>
      <c r="J162" s="117">
        <v>363000</v>
      </c>
      <c r="K162" s="117">
        <v>15700</v>
      </c>
    </row>
    <row x14ac:dyDescent="0.25" r="163" customHeight="1" ht="14.25">
      <c r="A163" s="165" t="s">
        <v>122</v>
      </c>
      <c r="B163" s="166" t="s">
        <v>179</v>
      </c>
      <c r="C163" s="167">
        <v>34513</v>
      </c>
      <c r="D163" s="167">
        <v>30333</v>
      </c>
      <c r="E163" s="168">
        <v>0.1378015349880672</v>
      </c>
      <c r="F163" s="167">
        <v>1382010</v>
      </c>
      <c r="G163" s="167">
        <v>1163845</v>
      </c>
      <c r="H163" s="168">
        <v>0.19</v>
      </c>
      <c r="I163" s="167">
        <v>1242</v>
      </c>
      <c r="J163" s="117">
        <v>90999</v>
      </c>
      <c r="K163" s="117">
        <v>3530</v>
      </c>
    </row>
    <row x14ac:dyDescent="0.25" r="164" customHeight="1" ht="14.25">
      <c r="A164" s="165" t="s">
        <v>122</v>
      </c>
      <c r="B164" s="166" t="s">
        <v>33</v>
      </c>
      <c r="C164" s="167">
        <v>32406</v>
      </c>
      <c r="D164" s="167">
        <v>66333</v>
      </c>
      <c r="E164" s="168">
        <v>-0.5114551781439722</v>
      </c>
      <c r="F164" s="167">
        <v>2194177</v>
      </c>
      <c r="G164" s="167">
        <v>2083347</v>
      </c>
      <c r="H164" s="168">
        <v>0.05</v>
      </c>
      <c r="I164" s="167">
        <v>2021</v>
      </c>
      <c r="J164" s="117">
        <v>198999</v>
      </c>
      <c r="K164" s="117">
        <v>10412</v>
      </c>
    </row>
    <row x14ac:dyDescent="0.25" r="165" customHeight="1" ht="14.25">
      <c r="A165" s="165" t="s">
        <v>122</v>
      </c>
      <c r="B165" s="166" t="s">
        <v>180</v>
      </c>
      <c r="C165" s="167">
        <v>132561</v>
      </c>
      <c r="D165" s="167">
        <v>132333</v>
      </c>
      <c r="E165" s="168">
        <v>0.001724299418841335</v>
      </c>
      <c r="F165" s="167">
        <v>3876448</v>
      </c>
      <c r="G165" s="167">
        <v>3803652</v>
      </c>
      <c r="H165" s="168">
        <v>0.02</v>
      </c>
      <c r="I165" s="167">
        <v>6660</v>
      </c>
      <c r="J165" s="117">
        <v>396999</v>
      </c>
      <c r="K165" s="117">
        <v>16527</v>
      </c>
    </row>
    <row x14ac:dyDescent="0.25" r="166" customHeight="1" ht="14.25">
      <c r="A166" s="165" t="s">
        <v>122</v>
      </c>
      <c r="B166" s="166" t="s">
        <v>181</v>
      </c>
      <c r="C166" s="167">
        <v>35418</v>
      </c>
      <c r="D166" s="167">
        <v>39666</v>
      </c>
      <c r="E166" s="168">
        <v>-0.1070867218686906</v>
      </c>
      <c r="F166" s="167">
        <v>1157738</v>
      </c>
      <c r="G166" s="167">
        <v>1154544</v>
      </c>
      <c r="H166" s="168">
        <v>0</v>
      </c>
      <c r="I166" s="167">
        <v>2358</v>
      </c>
      <c r="J166" s="117">
        <v>119000</v>
      </c>
      <c r="K166" s="117">
        <v>5223</v>
      </c>
    </row>
    <row x14ac:dyDescent="0.25" r="167" customHeight="1" ht="14.25">
      <c r="A167" s="165" t="s">
        <v>122</v>
      </c>
      <c r="B167" s="166" t="s">
        <v>182</v>
      </c>
      <c r="C167" s="167">
        <v>62235</v>
      </c>
      <c r="D167" s="167">
        <v>42333</v>
      </c>
      <c r="E167" s="168">
        <v>0.4701394373688959</v>
      </c>
      <c r="F167" s="167">
        <v>1072407</v>
      </c>
      <c r="G167" s="167">
        <v>1002200</v>
      </c>
      <c r="H167" s="168">
        <v>0.07</v>
      </c>
      <c r="I167" s="167">
        <v>2326</v>
      </c>
      <c r="J167" s="117">
        <v>126999</v>
      </c>
      <c r="K167" s="117">
        <v>4047</v>
      </c>
    </row>
    <row x14ac:dyDescent="0.25" r="168" customHeight="1" ht="14.25">
      <c r="A168" s="173" t="s">
        <v>122</v>
      </c>
      <c r="B168" s="173" t="s">
        <v>183</v>
      </c>
      <c r="C168" s="174">
        <v>0</v>
      </c>
      <c r="D168" s="174">
        <v>0</v>
      </c>
      <c r="E168" s="150"/>
      <c r="F168" s="174">
        <v>0</v>
      </c>
      <c r="G168" s="174">
        <v>7133</v>
      </c>
      <c r="H168" s="150">
        <v>-1</v>
      </c>
      <c r="I168" s="174">
        <v>0</v>
      </c>
      <c r="J168" s="117">
        <v>0</v>
      </c>
      <c r="K168" s="117">
        <v>0</v>
      </c>
    </row>
    <row x14ac:dyDescent="0.25" r="169" customHeight="1" ht="14.25">
      <c r="A169" s="173" t="s">
        <v>122</v>
      </c>
      <c r="B169" s="173" t="s">
        <v>184</v>
      </c>
      <c r="C169" s="174">
        <v>619269</v>
      </c>
      <c r="D169" s="174">
        <v>640000</v>
      </c>
      <c r="E169" s="150">
        <v>-0.03239152504036469</v>
      </c>
      <c r="F169" s="174">
        <v>19030687</v>
      </c>
      <c r="G169" s="174">
        <v>18901357</v>
      </c>
      <c r="H169" s="150">
        <v>0.01</v>
      </c>
      <c r="I169" s="174">
        <v>40315</v>
      </c>
      <c r="J169" s="117">
        <v>1920000</v>
      </c>
      <c r="K169" s="117">
        <v>81295</v>
      </c>
    </row>
    <row x14ac:dyDescent="0.25" r="170" customHeight="1" ht="14.25">
      <c r="A170" s="3"/>
      <c r="B170" s="3"/>
      <c r="C170" s="22"/>
      <c r="D170" s="22"/>
      <c r="E170" s="175"/>
      <c r="F170" s="22"/>
      <c r="G170" s="22"/>
      <c r="H170" s="175"/>
      <c r="I170" s="22"/>
      <c r="J170" s="22"/>
      <c r="K170" s="22"/>
    </row>
    <row x14ac:dyDescent="0.25" r="171" customHeight="1" ht="14.25">
      <c r="A171" s="3"/>
      <c r="B171" s="3"/>
      <c r="C171" s="22"/>
      <c r="D171" s="22"/>
      <c r="E171" s="175"/>
      <c r="F171" s="22"/>
      <c r="G171" s="22"/>
      <c r="H171" s="175"/>
      <c r="I171" s="22"/>
      <c r="J171" s="22"/>
      <c r="K171" s="22"/>
    </row>
    <row x14ac:dyDescent="0.25" r="172" customHeight="1" ht="14.25">
      <c r="A172" s="3"/>
      <c r="B172" s="3"/>
      <c r="C172" s="22"/>
      <c r="D172" s="22"/>
      <c r="E172" s="175"/>
      <c r="F172" s="22"/>
      <c r="G172" s="22"/>
      <c r="H172" s="175"/>
      <c r="I172" s="22"/>
      <c r="J172" s="22"/>
      <c r="K172" s="22"/>
    </row>
    <row x14ac:dyDescent="0.25" r="173" customHeight="1" ht="14.25">
      <c r="A173" s="3"/>
      <c r="B173" s="3"/>
      <c r="C173" s="22"/>
      <c r="D173" s="22"/>
      <c r="E173" s="175"/>
      <c r="F173" s="22"/>
      <c r="G173" s="22"/>
      <c r="H173" s="175"/>
      <c r="I173" s="22"/>
      <c r="J173" s="22"/>
      <c r="K173" s="22"/>
    </row>
    <row x14ac:dyDescent="0.25" r="174" customHeight="1" ht="14.25">
      <c r="A174" s="3"/>
      <c r="B174" s="3"/>
      <c r="C174" s="22"/>
      <c r="D174" s="22"/>
      <c r="E174" s="175"/>
      <c r="F174" s="22"/>
      <c r="G174" s="22"/>
      <c r="H174" s="175"/>
      <c r="I174" s="22"/>
      <c r="J174" s="22"/>
      <c r="K174" s="22"/>
    </row>
    <row x14ac:dyDescent="0.25" r="175" customHeight="1" ht="14.25">
      <c r="A175" s="3"/>
      <c r="B175" s="3"/>
      <c r="C175" s="22"/>
      <c r="D175" s="22"/>
      <c r="E175" s="175"/>
      <c r="F175" s="22"/>
      <c r="G175" s="22"/>
      <c r="H175" s="175"/>
      <c r="I175" s="22"/>
      <c r="J175" s="22"/>
      <c r="K175" s="22"/>
    </row>
    <row x14ac:dyDescent="0.25" r="176" customHeight="1" ht="14.25">
      <c r="A176" s="3"/>
      <c r="B176" s="3"/>
      <c r="C176" s="22"/>
      <c r="D176" s="22"/>
      <c r="E176" s="175"/>
      <c r="F176" s="22"/>
      <c r="G176" s="22"/>
      <c r="H176" s="175"/>
      <c r="I176" s="22"/>
      <c r="J176" s="22"/>
      <c r="K176" s="22"/>
    </row>
    <row x14ac:dyDescent="0.25" r="177" customHeight="1" ht="14.25">
      <c r="A177" s="3"/>
      <c r="B177" s="3"/>
      <c r="C177" s="22"/>
      <c r="D177" s="22"/>
      <c r="E177" s="175"/>
      <c r="F177" s="22"/>
      <c r="G177" s="22"/>
      <c r="H177" s="175"/>
      <c r="I177" s="22"/>
      <c r="J177" s="22"/>
      <c r="K177" s="22"/>
    </row>
    <row x14ac:dyDescent="0.25" r="178" customHeight="1" ht="14.25">
      <c r="A178" s="3"/>
      <c r="B178" s="3"/>
      <c r="C178" s="22"/>
      <c r="D178" s="22"/>
      <c r="E178" s="175"/>
      <c r="F178" s="22"/>
      <c r="G178" s="22"/>
      <c r="H178" s="175"/>
      <c r="I178" s="22"/>
      <c r="J178" s="22"/>
      <c r="K178" s="22"/>
    </row>
    <row x14ac:dyDescent="0.25" r="179" customHeight="1" ht="14.25">
      <c r="A179" s="3"/>
      <c r="B179" s="3"/>
      <c r="C179" s="22"/>
      <c r="D179" s="22"/>
      <c r="E179" s="175"/>
      <c r="F179" s="22"/>
      <c r="G179" s="22"/>
      <c r="H179" s="175"/>
      <c r="I179" s="22"/>
      <c r="J179" s="22"/>
      <c r="K179" s="22"/>
    </row>
    <row x14ac:dyDescent="0.25" r="180" customHeight="1" ht="14.25">
      <c r="A180" s="3"/>
      <c r="B180" s="3"/>
      <c r="C180" s="22"/>
      <c r="D180" s="22"/>
      <c r="E180" s="175"/>
      <c r="F180" s="22"/>
      <c r="G180" s="22"/>
      <c r="H180" s="175"/>
      <c r="I180" s="22"/>
      <c r="J180" s="22"/>
      <c r="K180" s="22"/>
    </row>
    <row x14ac:dyDescent="0.25" r="181" customHeight="1" ht="14.25">
      <c r="A181" s="3"/>
      <c r="B181" s="3"/>
      <c r="C181" s="22"/>
      <c r="D181" s="22"/>
      <c r="E181" s="175"/>
      <c r="F181" s="22"/>
      <c r="G181" s="22"/>
      <c r="H181" s="175"/>
      <c r="I181" s="22"/>
      <c r="J181" s="22"/>
      <c r="K181" s="22"/>
    </row>
    <row x14ac:dyDescent="0.25" r="182" customHeight="1" ht="14.25">
      <c r="A182" s="3"/>
      <c r="B182" s="3"/>
      <c r="C182" s="22"/>
      <c r="D182" s="22"/>
      <c r="E182" s="175"/>
      <c r="F182" s="22"/>
      <c r="G182" s="22"/>
      <c r="H182" s="175"/>
      <c r="I182" s="22"/>
      <c r="J182" s="22"/>
      <c r="K182" s="22"/>
    </row>
    <row x14ac:dyDescent="0.25" r="183" customHeight="1" ht="14.25">
      <c r="A183" s="3"/>
      <c r="B183" s="3"/>
      <c r="C183" s="22"/>
      <c r="D183" s="22"/>
      <c r="E183" s="175"/>
      <c r="F183" s="22"/>
      <c r="G183" s="22"/>
      <c r="H183" s="175"/>
      <c r="I183" s="22"/>
      <c r="J183" s="22"/>
      <c r="K183" s="22"/>
    </row>
    <row x14ac:dyDescent="0.25" r="184" customHeight="1" ht="14.25">
      <c r="A184" s="3"/>
      <c r="B184" s="3"/>
      <c r="C184" s="22"/>
      <c r="D184" s="22"/>
      <c r="E184" s="175"/>
      <c r="F184" s="22"/>
      <c r="G184" s="22"/>
      <c r="H184" s="175"/>
      <c r="I184" s="22"/>
      <c r="J184" s="22"/>
      <c r="K184" s="22"/>
    </row>
    <row x14ac:dyDescent="0.25" r="185" customHeight="1" ht="14.25">
      <c r="A185" s="3"/>
      <c r="B185" s="3"/>
      <c r="C185" s="22"/>
      <c r="D185" s="22"/>
      <c r="E185" s="175"/>
      <c r="F185" s="22"/>
      <c r="G185" s="22"/>
      <c r="H185" s="175"/>
      <c r="I185" s="22"/>
      <c r="J185" s="22"/>
      <c r="K185" s="22"/>
    </row>
    <row x14ac:dyDescent="0.25" r="186" customHeight="1" ht="14.25">
      <c r="A186" s="3"/>
      <c r="B186" s="3"/>
      <c r="C186" s="22"/>
      <c r="D186" s="22"/>
      <c r="E186" s="175"/>
      <c r="F186" s="22"/>
      <c r="G186" s="22"/>
      <c r="H186" s="175"/>
      <c r="I186" s="22"/>
      <c r="J186" s="22"/>
      <c r="K186" s="22"/>
    </row>
    <row x14ac:dyDescent="0.25" r="187" customHeight="1" ht="14.25">
      <c r="A187" s="3"/>
      <c r="B187" s="3"/>
      <c r="C187" s="22"/>
      <c r="D187" s="22"/>
      <c r="E187" s="175"/>
      <c r="F187" s="22"/>
      <c r="G187" s="22"/>
      <c r="H187" s="175"/>
      <c r="I187" s="22"/>
      <c r="J187" s="22"/>
      <c r="K187" s="22"/>
    </row>
    <row x14ac:dyDescent="0.25" r="188" customHeight="1" ht="14.25">
      <c r="A188" s="3"/>
      <c r="B188" s="3"/>
      <c r="C188" s="22"/>
      <c r="D188" s="22"/>
      <c r="E188" s="175"/>
      <c r="F188" s="22"/>
      <c r="G188" s="22"/>
      <c r="H188" s="175"/>
      <c r="I188" s="22"/>
      <c r="J188" s="22"/>
      <c r="K188" s="22"/>
    </row>
    <row x14ac:dyDescent="0.25" r="189" customHeight="1" ht="14.25">
      <c r="A189" s="3"/>
      <c r="B189" s="3"/>
      <c r="C189" s="22"/>
      <c r="D189" s="22"/>
      <c r="E189" s="175"/>
      <c r="F189" s="22"/>
      <c r="G189" s="22"/>
      <c r="H189" s="175"/>
      <c r="I189" s="22"/>
      <c r="J189" s="22"/>
      <c r="K189" s="22"/>
    </row>
    <row x14ac:dyDescent="0.25" r="190" customHeight="1" ht="14.25">
      <c r="A190" s="3"/>
      <c r="B190" s="3"/>
      <c r="C190" s="22"/>
      <c r="D190" s="22"/>
      <c r="E190" s="175"/>
      <c r="F190" s="22"/>
      <c r="G190" s="22"/>
      <c r="H190" s="175"/>
      <c r="I190" s="22"/>
      <c r="J190" s="22"/>
      <c r="K190" s="22"/>
    </row>
    <row x14ac:dyDescent="0.25" r="191" customHeight="1" ht="14.25">
      <c r="A191" s="3"/>
      <c r="B191" s="3"/>
      <c r="C191" s="22"/>
      <c r="D191" s="22"/>
      <c r="E191" s="175"/>
      <c r="F191" s="22"/>
      <c r="G191" s="22"/>
      <c r="H191" s="175"/>
      <c r="I191" s="22"/>
      <c r="J191" s="22"/>
      <c r="K191" s="22"/>
    </row>
    <row x14ac:dyDescent="0.25" r="192" customHeight="1" ht="14.25">
      <c r="A192" s="3"/>
      <c r="B192" s="3"/>
      <c r="C192" s="22"/>
      <c r="D192" s="22"/>
      <c r="E192" s="175"/>
      <c r="F192" s="22"/>
      <c r="G192" s="22"/>
      <c r="H192" s="175"/>
      <c r="I192" s="22"/>
      <c r="J192" s="22"/>
      <c r="K192" s="22"/>
    </row>
    <row x14ac:dyDescent="0.25" r="193" customHeight="1" ht="14.25">
      <c r="A193" s="3"/>
      <c r="B193" s="3"/>
      <c r="C193" s="22"/>
      <c r="D193" s="22"/>
      <c r="E193" s="175"/>
      <c r="F193" s="22"/>
      <c r="G193" s="22"/>
      <c r="H193" s="175"/>
      <c r="I193" s="22"/>
      <c r="J193" s="22"/>
      <c r="K193" s="22"/>
    </row>
    <row x14ac:dyDescent="0.25" r="194" customHeight="1" ht="14.25">
      <c r="A194" s="3"/>
      <c r="B194" s="3"/>
      <c r="C194" s="22"/>
      <c r="D194" s="22"/>
      <c r="E194" s="175"/>
      <c r="F194" s="22"/>
      <c r="G194" s="22"/>
      <c r="H194" s="175"/>
      <c r="I194" s="22"/>
      <c r="J194" s="22"/>
      <c r="K194" s="22"/>
    </row>
    <row x14ac:dyDescent="0.25" r="195" customHeight="1" ht="14.25">
      <c r="A195" s="3"/>
      <c r="B195" s="3"/>
      <c r="C195" s="22"/>
      <c r="D195" s="22"/>
      <c r="E195" s="175"/>
      <c r="F195" s="22"/>
      <c r="G195" s="22"/>
      <c r="H195" s="175"/>
      <c r="I195" s="22"/>
      <c r="J195" s="22"/>
      <c r="K195" s="22"/>
    </row>
    <row x14ac:dyDescent="0.25" r="196" customHeight="1" ht="14.25">
      <c r="A196" s="3"/>
      <c r="B196" s="3"/>
      <c r="C196" s="22"/>
      <c r="D196" s="22"/>
      <c r="E196" s="175"/>
      <c r="F196" s="22"/>
      <c r="G196" s="22"/>
      <c r="H196" s="175"/>
      <c r="I196" s="22"/>
      <c r="J196" s="22"/>
      <c r="K196" s="22"/>
    </row>
    <row x14ac:dyDescent="0.25" r="197" customHeight="1" ht="14.25">
      <c r="A197" s="3"/>
      <c r="B197" s="3"/>
      <c r="C197" s="22"/>
      <c r="D197" s="22"/>
      <c r="E197" s="175"/>
      <c r="F197" s="22"/>
      <c r="G197" s="22"/>
      <c r="H197" s="175"/>
      <c r="I197" s="22"/>
      <c r="J197" s="22"/>
      <c r="K197" s="22"/>
    </row>
    <row x14ac:dyDescent="0.25" r="198" customHeight="1" ht="14.25">
      <c r="A198" s="3"/>
      <c r="B198" s="3"/>
      <c r="C198" s="22"/>
      <c r="D198" s="22"/>
      <c r="E198" s="175"/>
      <c r="F198" s="22"/>
      <c r="G198" s="22"/>
      <c r="H198" s="175"/>
      <c r="I198" s="22"/>
      <c r="J198" s="22"/>
      <c r="K198" s="22"/>
    </row>
    <row x14ac:dyDescent="0.25" r="199" customHeight="1" ht="14.25">
      <c r="A199" s="3"/>
      <c r="B199" s="3"/>
      <c r="C199" s="22"/>
      <c r="D199" s="22"/>
      <c r="E199" s="175"/>
      <c r="F199" s="22"/>
      <c r="G199" s="22"/>
      <c r="H199" s="175"/>
      <c r="I199" s="22"/>
      <c r="J199" s="22"/>
      <c r="K199" s="22"/>
    </row>
    <row x14ac:dyDescent="0.25" r="200" customHeight="1" ht="14.25">
      <c r="A200" s="3"/>
      <c r="B200" s="3"/>
      <c r="C200" s="22"/>
      <c r="D200" s="22"/>
      <c r="E200" s="175"/>
      <c r="F200" s="22"/>
      <c r="G200" s="22"/>
      <c r="H200" s="175"/>
      <c r="I200" s="22"/>
      <c r="J200" s="22"/>
      <c r="K200" s="22"/>
    </row>
    <row x14ac:dyDescent="0.25" r="201" customHeight="1" ht="14.25">
      <c r="A201" s="3"/>
      <c r="B201" s="3"/>
      <c r="C201" s="22"/>
      <c r="D201" s="22"/>
      <c r="E201" s="175"/>
      <c r="F201" s="22"/>
      <c r="G201" s="22"/>
      <c r="H201" s="175"/>
      <c r="I201" s="22"/>
      <c r="J201" s="22"/>
      <c r="K201" s="22"/>
    </row>
    <row x14ac:dyDescent="0.25" r="202" customHeight="1" ht="14.25">
      <c r="A202" s="3"/>
      <c r="B202" s="3"/>
      <c r="C202" s="22"/>
      <c r="D202" s="22"/>
      <c r="E202" s="175"/>
      <c r="F202" s="22"/>
      <c r="G202" s="22"/>
      <c r="H202" s="175"/>
      <c r="I202" s="22"/>
      <c r="J202" s="22"/>
      <c r="K202" s="22"/>
    </row>
    <row x14ac:dyDescent="0.25" r="203" customHeight="1" ht="14.25">
      <c r="A203" s="3"/>
      <c r="B203" s="3"/>
      <c r="C203" s="22"/>
      <c r="D203" s="22"/>
      <c r="E203" s="175"/>
      <c r="F203" s="22"/>
      <c r="G203" s="22"/>
      <c r="H203" s="175"/>
      <c r="I203" s="22"/>
      <c r="J203" s="22"/>
      <c r="K203" s="22"/>
    </row>
    <row x14ac:dyDescent="0.25" r="204" customHeight="1" ht="14.25">
      <c r="A204" s="3"/>
      <c r="B204" s="3"/>
      <c r="C204" s="22"/>
      <c r="D204" s="22"/>
      <c r="E204" s="175"/>
      <c r="F204" s="22"/>
      <c r="G204" s="22"/>
      <c r="H204" s="175"/>
      <c r="I204" s="22"/>
      <c r="J204" s="22"/>
      <c r="K204" s="22"/>
    </row>
    <row x14ac:dyDescent="0.25" r="205" customHeight="1" ht="14.25">
      <c r="A205" s="3"/>
      <c r="B205" s="3"/>
      <c r="C205" s="22"/>
      <c r="D205" s="22"/>
      <c r="E205" s="175"/>
      <c r="F205" s="22"/>
      <c r="G205" s="22"/>
      <c r="H205" s="175"/>
      <c r="I205" s="22"/>
      <c r="J205" s="22"/>
      <c r="K205" s="22"/>
    </row>
    <row x14ac:dyDescent="0.25" r="206" customHeight="1" ht="14.25">
      <c r="A206" s="3"/>
      <c r="B206" s="3"/>
      <c r="C206" s="22"/>
      <c r="D206" s="22"/>
      <c r="E206" s="175"/>
      <c r="F206" s="22"/>
      <c r="G206" s="22"/>
      <c r="H206" s="175"/>
      <c r="I206" s="22"/>
      <c r="J206" s="22"/>
      <c r="K206" s="22"/>
    </row>
    <row x14ac:dyDescent="0.25" r="207" customHeight="1" ht="14.25">
      <c r="A207" s="3"/>
      <c r="B207" s="3"/>
      <c r="C207" s="22"/>
      <c r="D207" s="22"/>
      <c r="E207" s="175"/>
      <c r="F207" s="22"/>
      <c r="G207" s="22"/>
      <c r="H207" s="175"/>
      <c r="I207" s="22"/>
      <c r="J207" s="22"/>
      <c r="K207" s="22"/>
    </row>
    <row x14ac:dyDescent="0.25" r="208" customHeight="1" ht="14.25">
      <c r="A208" s="3"/>
      <c r="B208" s="3"/>
      <c r="C208" s="22"/>
      <c r="D208" s="22"/>
      <c r="E208" s="175"/>
      <c r="F208" s="22"/>
      <c r="G208" s="22"/>
      <c r="H208" s="175"/>
      <c r="I208" s="22"/>
      <c r="J208" s="22"/>
      <c r="K208" s="22"/>
    </row>
    <row x14ac:dyDescent="0.25" r="209" customHeight="1" ht="14.25">
      <c r="A209" s="3"/>
      <c r="B209" s="3"/>
      <c r="C209" s="22"/>
      <c r="D209" s="22"/>
      <c r="E209" s="175"/>
      <c r="F209" s="22"/>
      <c r="G209" s="22"/>
      <c r="H209" s="175"/>
      <c r="I209" s="22"/>
      <c r="J209" s="22"/>
      <c r="K209" s="22"/>
    </row>
    <row x14ac:dyDescent="0.25" r="210" customHeight="1" ht="14.25">
      <c r="A210" s="3"/>
      <c r="B210" s="3"/>
      <c r="C210" s="22"/>
      <c r="D210" s="22"/>
      <c r="E210" s="175"/>
      <c r="F210" s="22"/>
      <c r="G210" s="22"/>
      <c r="H210" s="175"/>
      <c r="I210" s="22"/>
      <c r="J210" s="22"/>
      <c r="K210" s="22"/>
    </row>
    <row x14ac:dyDescent="0.25" r="211" customHeight="1" ht="14.25">
      <c r="A211" s="3"/>
      <c r="B211" s="3"/>
      <c r="C211" s="22"/>
      <c r="D211" s="22"/>
      <c r="E211" s="175"/>
      <c r="F211" s="22"/>
      <c r="G211" s="22"/>
      <c r="H211" s="175"/>
      <c r="I211" s="22"/>
      <c r="J211" s="22"/>
      <c r="K211" s="22"/>
    </row>
    <row x14ac:dyDescent="0.25" r="212" customHeight="1" ht="14.25">
      <c r="A212" s="3"/>
      <c r="B212" s="3"/>
      <c r="C212" s="22"/>
      <c r="D212" s="22"/>
      <c r="E212" s="175"/>
      <c r="F212" s="22"/>
      <c r="G212" s="22"/>
      <c r="H212" s="175"/>
      <c r="I212" s="22"/>
      <c r="J212" s="22"/>
      <c r="K212" s="22"/>
    </row>
    <row x14ac:dyDescent="0.25" r="213" customHeight="1" ht="14.25">
      <c r="A213" s="3"/>
      <c r="B213" s="3"/>
      <c r="C213" s="22"/>
      <c r="D213" s="22"/>
      <c r="E213" s="175"/>
      <c r="F213" s="22"/>
      <c r="G213" s="22"/>
      <c r="H213" s="175"/>
      <c r="I213" s="22"/>
      <c r="J213" s="22"/>
      <c r="K213" s="22"/>
    </row>
    <row x14ac:dyDescent="0.25" r="214" customHeight="1" ht="14.25">
      <c r="A214" s="3"/>
      <c r="B214" s="3"/>
      <c r="C214" s="22"/>
      <c r="D214" s="22"/>
      <c r="E214" s="175"/>
      <c r="F214" s="22"/>
      <c r="G214" s="22"/>
      <c r="H214" s="175"/>
      <c r="I214" s="22"/>
      <c r="J214" s="22"/>
      <c r="K214" s="22"/>
    </row>
    <row x14ac:dyDescent="0.25" r="215" customHeight="1" ht="14.25">
      <c r="A215" s="3"/>
      <c r="B215" s="3"/>
      <c r="C215" s="22"/>
      <c r="D215" s="22"/>
      <c r="E215" s="175"/>
      <c r="F215" s="22"/>
      <c r="G215" s="22"/>
      <c r="H215" s="175"/>
      <c r="I215" s="22"/>
      <c r="J215" s="22"/>
      <c r="K215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87"/>
  <sheetViews>
    <sheetView workbookViewId="0" tabSelected="1"/>
  </sheetViews>
  <sheetFormatPr defaultRowHeight="15" x14ac:dyDescent="0.25"/>
  <cols>
    <col min="1" max="1" style="19" width="9.719285714285713" customWidth="1" bestFit="1"/>
    <col min="2" max="2" style="24" width="12.147857142857141" customWidth="1" bestFit="1"/>
    <col min="3" max="3" style="152" width="29.433571428571426" customWidth="1" bestFit="1"/>
    <col min="4" max="4" style="153" width="29.862142857142857" customWidth="1" bestFit="1"/>
    <col min="5" max="5" style="153" width="5.576428571428571" customWidth="1" bestFit="1"/>
    <col min="6" max="6" style="152" width="5.576428571428571" customWidth="1" bestFit="1"/>
    <col min="7" max="7" style="154" width="6.147857142857143" customWidth="1" bestFit="1"/>
    <col min="8" max="8" style="24" width="13.862142857142858" customWidth="1" bestFit="1"/>
    <col min="9" max="9" style="24" width="12.719285714285713" customWidth="1" bestFit="1"/>
  </cols>
  <sheetData>
    <row x14ac:dyDescent="0.25" r="1" customHeight="1" ht="33.75">
      <c r="A1" s="136" t="s">
        <v>165</v>
      </c>
      <c r="B1" s="137" t="s">
        <v>157</v>
      </c>
      <c r="C1" s="138" t="s">
        <v>147</v>
      </c>
      <c r="D1" s="139" t="s">
        <v>163</v>
      </c>
      <c r="E1" s="140" t="s">
        <v>164</v>
      </c>
      <c r="F1" s="141" t="s">
        <v>166</v>
      </c>
      <c r="G1" s="142" t="s">
        <v>148</v>
      </c>
      <c r="H1" s="22" t="s">
        <v>167</v>
      </c>
      <c r="I1" s="22" t="s">
        <v>168</v>
      </c>
    </row>
    <row x14ac:dyDescent="0.25" r="2" customHeight="1" ht="17.25">
      <c r="A2" s="3" t="s">
        <v>106</v>
      </c>
      <c r="B2" s="117">
        <v>583</v>
      </c>
      <c r="C2" s="119">
        <v>0.427536417398428</v>
      </c>
      <c r="D2" s="118">
        <v>5.41071428571429</v>
      </c>
      <c r="E2" s="118">
        <v>5.7</v>
      </c>
      <c r="F2" s="119">
        <v>0.949248120300753</v>
      </c>
      <c r="G2" s="119">
        <v>0.280879068574552</v>
      </c>
      <c r="H2" s="117">
        <v>26</v>
      </c>
      <c r="I2" s="117">
        <v>20</v>
      </c>
    </row>
    <row x14ac:dyDescent="0.25" r="3" customHeight="1" ht="17.25">
      <c r="A3" s="3" t="s">
        <v>103</v>
      </c>
      <c r="B3" s="117">
        <v>583</v>
      </c>
      <c r="C3" s="119">
        <v>0.463377793707279</v>
      </c>
      <c r="D3" s="118">
        <v>6.23756906077348</v>
      </c>
      <c r="E3" s="118">
        <v>5.7</v>
      </c>
      <c r="F3" s="119">
        <v>1.09431036153921</v>
      </c>
      <c r="G3" s="119">
        <v>0.306259707301168</v>
      </c>
      <c r="H3" s="117">
        <v>25</v>
      </c>
      <c r="I3" s="117">
        <v>19</v>
      </c>
    </row>
    <row x14ac:dyDescent="0.25" r="4" customHeight="1" ht="17.25">
      <c r="A4" s="3" t="s">
        <v>108</v>
      </c>
      <c r="B4" s="117">
        <v>560</v>
      </c>
      <c r="C4" s="119">
        <v>0.324175824175825</v>
      </c>
      <c r="D4" s="118">
        <v>7.56834532374101</v>
      </c>
      <c r="E4" s="118">
        <v>6.84</v>
      </c>
      <c r="F4" s="119">
        <v>1.10648323446506</v>
      </c>
      <c r="G4" s="119">
        <v>0.210714285714286</v>
      </c>
      <c r="H4" s="117">
        <v>27</v>
      </c>
      <c r="I4" s="117">
        <v>23</v>
      </c>
    </row>
    <row x14ac:dyDescent="0.25" r="5" customHeight="1" ht="17.25">
      <c r="A5" s="3" t="s">
        <v>117</v>
      </c>
      <c r="B5" s="117">
        <v>638</v>
      </c>
      <c r="C5" s="119">
        <v>0.470219435736678</v>
      </c>
      <c r="D5" s="118">
        <v>5.14285714285714</v>
      </c>
      <c r="E5" s="118">
        <v>5.3</v>
      </c>
      <c r="F5" s="119">
        <v>0.970350404312668</v>
      </c>
      <c r="G5" s="119">
        <v>0.296238244514107</v>
      </c>
      <c r="H5" s="117">
        <v>28</v>
      </c>
      <c r="I5" s="117">
        <v>21</v>
      </c>
    </row>
    <row x14ac:dyDescent="0.25" r="6" customHeight="1" ht="17.25">
      <c r="A6" s="3" t="s">
        <v>115</v>
      </c>
      <c r="B6" s="117">
        <v>638</v>
      </c>
      <c r="C6" s="119">
        <v>0.465243568691844</v>
      </c>
      <c r="D6" s="118">
        <v>3.84574468085106</v>
      </c>
      <c r="E6" s="118">
        <v>5.13</v>
      </c>
      <c r="F6" s="119">
        <v>0.749657832524573</v>
      </c>
      <c r="G6" s="119">
        <v>0.289968652037618</v>
      </c>
      <c r="H6" s="117">
        <v>28</v>
      </c>
      <c r="I6" s="117">
        <v>21</v>
      </c>
    </row>
    <row x14ac:dyDescent="0.25" r="7" customHeight="1" ht="17.25">
      <c r="A7" s="3" t="s">
        <v>99</v>
      </c>
      <c r="B7" s="117">
        <v>646</v>
      </c>
      <c r="C7" s="119">
        <v>0.37428954299709</v>
      </c>
      <c r="D7" s="118">
        <v>4.73170731707317</v>
      </c>
      <c r="E7" s="118">
        <v>5.035</v>
      </c>
      <c r="F7" s="119">
        <v>0.939763121563688</v>
      </c>
      <c r="G7" s="119">
        <v>0.247678018575851</v>
      </c>
      <c r="H7" s="117">
        <v>30</v>
      </c>
      <c r="I7" s="117">
        <v>25</v>
      </c>
    </row>
    <row x14ac:dyDescent="0.25" r="8" customHeight="1" ht="17.25">
      <c r="A8" s="3" t="s">
        <v>101</v>
      </c>
      <c r="B8" s="117">
        <v>647</v>
      </c>
      <c r="C8" s="119">
        <v>0.424461925303928</v>
      </c>
      <c r="D8" s="118">
        <v>6.10326086956522</v>
      </c>
      <c r="E8" s="118">
        <v>5.3</v>
      </c>
      <c r="F8" s="119">
        <v>1.15155865463495</v>
      </c>
      <c r="G8" s="119">
        <v>0.284389489953632</v>
      </c>
      <c r="H8" s="117">
        <v>28</v>
      </c>
      <c r="I8" s="117">
        <v>23</v>
      </c>
    </row>
    <row x14ac:dyDescent="0.25" r="9" customHeight="1" ht="17.25">
      <c r="A9" s="3" t="s">
        <v>111</v>
      </c>
      <c r="B9" s="117">
        <v>781</v>
      </c>
      <c r="C9" s="119">
        <v>0.227169468423444</v>
      </c>
      <c r="D9" s="118">
        <v>6.48181818181818</v>
      </c>
      <c r="E9" s="118">
        <v>6</v>
      </c>
      <c r="F9" s="119">
        <v>1.08030303030303</v>
      </c>
      <c r="G9" s="119">
        <v>0.140845070422535</v>
      </c>
      <c r="H9" s="117">
        <v>41</v>
      </c>
      <c r="I9" s="117">
        <v>37</v>
      </c>
    </row>
    <row x14ac:dyDescent="0.25" r="10" customHeight="1" ht="17.25">
      <c r="A10" s="143" t="s">
        <v>88</v>
      </c>
      <c r="B10" s="144">
        <v>5483</v>
      </c>
      <c r="C10" s="145">
        <v>0.401145698574681</v>
      </c>
      <c r="D10" s="146">
        <v>5.77322129470106</v>
      </c>
      <c r="E10" s="146">
        <v>5.72277777777778</v>
      </c>
      <c r="F10" s="145">
        <v>1.00881451611124</v>
      </c>
      <c r="G10" s="145">
        <v>0.260594110658264</v>
      </c>
      <c r="H10" s="117">
        <v>253</v>
      </c>
      <c r="I10" s="117">
        <v>205</v>
      </c>
    </row>
    <row x14ac:dyDescent="0.25" r="11" customHeight="1" ht="17.25">
      <c r="A11" s="3" t="s">
        <v>97</v>
      </c>
      <c r="B11" s="117">
        <v>653</v>
      </c>
      <c r="C11" s="119">
        <v>0.435004549792485</v>
      </c>
      <c r="D11" s="118">
        <v>4.61340206185567</v>
      </c>
      <c r="E11" s="118">
        <v>5.5</v>
      </c>
      <c r="F11" s="119">
        <v>0.838800374882849</v>
      </c>
      <c r="G11" s="119">
        <v>0.297090352220521</v>
      </c>
      <c r="H11" s="117">
        <v>28</v>
      </c>
      <c r="I11" s="117">
        <v>23</v>
      </c>
    </row>
    <row x14ac:dyDescent="0.25" r="12" customHeight="1" ht="17.25">
      <c r="A12" s="3" t="s">
        <v>95</v>
      </c>
      <c r="B12" s="117">
        <v>653</v>
      </c>
      <c r="C12" s="119">
        <v>0.379519275584259</v>
      </c>
      <c r="D12" s="118">
        <v>4.92397660818713</v>
      </c>
      <c r="E12" s="118">
        <v>5</v>
      </c>
      <c r="F12" s="119">
        <v>0.984795321637426</v>
      </c>
      <c r="G12" s="119">
        <v>0.260336906584992</v>
      </c>
      <c r="H12" s="117">
        <v>30</v>
      </c>
      <c r="I12" s="117">
        <v>25</v>
      </c>
    </row>
    <row x14ac:dyDescent="0.25" r="13" customHeight="1" ht="17.25">
      <c r="A13" s="3" t="s">
        <v>86</v>
      </c>
      <c r="B13" s="117">
        <v>747</v>
      </c>
      <c r="C13" s="119">
        <v>0.200803212851406</v>
      </c>
      <c r="D13" s="118">
        <v>7.27868852459016</v>
      </c>
      <c r="E13" s="118">
        <v>6.125</v>
      </c>
      <c r="F13" s="119">
        <v>1.18835731013717</v>
      </c>
      <c r="G13" s="119">
        <v>0.136546184738956</v>
      </c>
      <c r="H13" s="117">
        <v>40</v>
      </c>
      <c r="I13" s="117">
        <v>37</v>
      </c>
    </row>
    <row x14ac:dyDescent="0.25" r="14" customHeight="1" ht="17.25">
      <c r="A14" s="3" t="s">
        <v>93</v>
      </c>
      <c r="B14" s="117">
        <v>516</v>
      </c>
      <c r="C14" s="119">
        <v>0.221051356589147</v>
      </c>
      <c r="D14" s="118">
        <v>4.55555555555556</v>
      </c>
      <c r="E14" s="118">
        <v>6</v>
      </c>
      <c r="F14" s="119">
        <v>0.75925925925926</v>
      </c>
      <c r="G14" s="119">
        <v>0.142382534409112</v>
      </c>
      <c r="H14" s="117">
        <v>27</v>
      </c>
      <c r="I14" s="117">
        <v>25</v>
      </c>
    </row>
    <row x14ac:dyDescent="0.25" r="15" customHeight="1" ht="17.25">
      <c r="A15" s="3" t="s">
        <v>76</v>
      </c>
      <c r="B15" s="117">
        <v>655</v>
      </c>
      <c r="C15" s="119">
        <v>0.406376290974404</v>
      </c>
      <c r="D15" s="118">
        <v>5.59239130434783</v>
      </c>
      <c r="E15" s="118">
        <v>5.51</v>
      </c>
      <c r="F15" s="119">
        <v>1.01495304979089</v>
      </c>
      <c r="G15" s="119">
        <v>0.274809160305344</v>
      </c>
      <c r="H15" s="117">
        <v>29</v>
      </c>
      <c r="I15" s="117">
        <v>24</v>
      </c>
    </row>
    <row x14ac:dyDescent="0.25" r="16" customHeight="1" ht="17.25">
      <c r="A16" s="3" t="s">
        <v>74</v>
      </c>
      <c r="B16" s="117">
        <v>655</v>
      </c>
      <c r="C16" s="119">
        <v>0.186349348899865</v>
      </c>
      <c r="D16" s="118">
        <v>3.63333333333333</v>
      </c>
      <c r="E16" s="118">
        <v>5.51</v>
      </c>
      <c r="F16" s="119">
        <v>0.659407138535995</v>
      </c>
      <c r="G16" s="119">
        <v>0.123664122137405</v>
      </c>
      <c r="H16" s="117">
        <v>35</v>
      </c>
      <c r="I16" s="117">
        <v>33</v>
      </c>
    </row>
    <row x14ac:dyDescent="0.25" r="17" customHeight="1" ht="17.25">
      <c r="A17" s="3" t="s">
        <v>79</v>
      </c>
      <c r="B17" s="117">
        <v>659</v>
      </c>
      <c r="C17" s="119">
        <v>0.390520396322413</v>
      </c>
      <c r="D17" s="118">
        <v>4.1731843575419</v>
      </c>
      <c r="E17" s="118">
        <v>5.415</v>
      </c>
      <c r="F17" s="119">
        <v>0.770671164827682</v>
      </c>
      <c r="G17" s="145">
        <v>0.261001517450683</v>
      </c>
      <c r="H17" s="117">
        <v>30</v>
      </c>
      <c r="I17" s="117">
        <v>25</v>
      </c>
    </row>
    <row x14ac:dyDescent="0.25" r="18" customHeight="1" ht="17.25">
      <c r="A18" s="3" t="s">
        <v>82</v>
      </c>
      <c r="B18" s="117">
        <v>659</v>
      </c>
      <c r="C18" s="119">
        <v>0.350352584129251</v>
      </c>
      <c r="D18" s="118">
        <v>4.91304347826087</v>
      </c>
      <c r="E18" s="118">
        <v>5.415</v>
      </c>
      <c r="F18" s="119">
        <v>0.907302581396283</v>
      </c>
      <c r="G18" s="119">
        <v>0.238239757207891</v>
      </c>
      <c r="H18" s="117">
        <v>31</v>
      </c>
      <c r="I18" s="117">
        <v>26</v>
      </c>
    </row>
    <row x14ac:dyDescent="0.25" r="19" customHeight="1" ht="17.25">
      <c r="A19" s="3" t="s">
        <v>89</v>
      </c>
      <c r="B19" s="117">
        <v>536</v>
      </c>
      <c r="C19" s="119">
        <v>0.357587064676617</v>
      </c>
      <c r="D19" s="118">
        <v>7.7479674796748</v>
      </c>
      <c r="E19" s="118">
        <v>5.871</v>
      </c>
      <c r="F19" s="119">
        <v>1.3197014954309</v>
      </c>
      <c r="G19" s="147">
        <v>0.217027109351203</v>
      </c>
      <c r="H19" s="117">
        <v>26</v>
      </c>
      <c r="I19" s="117">
        <v>21</v>
      </c>
    </row>
    <row x14ac:dyDescent="0.25" r="20" customHeight="1" ht="17.25">
      <c r="A20" s="3" t="s">
        <v>91</v>
      </c>
      <c r="B20" s="117">
        <v>509</v>
      </c>
      <c r="C20" s="119">
        <v>0.495557575579861</v>
      </c>
      <c r="D20" s="118">
        <v>4.3921568627451</v>
      </c>
      <c r="E20" s="118">
        <v>6</v>
      </c>
      <c r="F20" s="119">
        <v>0.73202614379085</v>
      </c>
      <c r="G20" s="148">
        <v>0.288681287839301</v>
      </c>
      <c r="H20" s="117">
        <v>22</v>
      </c>
      <c r="I20" s="117">
        <v>16</v>
      </c>
    </row>
    <row x14ac:dyDescent="0.25" r="21" customHeight="1" ht="17.25">
      <c r="A21" s="143" t="s">
        <v>88</v>
      </c>
      <c r="B21" s="144">
        <v>6242</v>
      </c>
      <c r="C21" s="145">
        <v>0.340525558813937</v>
      </c>
      <c r="D21" s="146">
        <v>5.18236995660923</v>
      </c>
      <c r="E21" s="146">
        <v>5.6346</v>
      </c>
      <c r="F21" s="145">
        <v>0.91974052401399</v>
      </c>
      <c r="G21" s="148">
        <v>0.224025866560706</v>
      </c>
      <c r="H21" s="117">
        <v>302</v>
      </c>
      <c r="I21" s="117">
        <v>257</v>
      </c>
    </row>
    <row x14ac:dyDescent="0.25" r="22" customHeight="1" ht="17.25">
      <c r="A22" s="3" t="s">
        <v>88</v>
      </c>
      <c r="B22" s="117">
        <v>12084</v>
      </c>
      <c r="C22" s="119">
        <v>0.365616269106652</v>
      </c>
      <c r="D22" s="118">
        <v>5.41830859070459</v>
      </c>
      <c r="E22" s="118">
        <v>5.73140909090909</v>
      </c>
      <c r="F22" s="119">
        <v>0.945371112890698</v>
      </c>
      <c r="G22" s="147">
        <v>0.239251540447294</v>
      </c>
      <c r="H22" s="117">
        <v>574</v>
      </c>
      <c r="I22" s="117">
        <v>479</v>
      </c>
    </row>
    <row x14ac:dyDescent="0.25" r="23" customHeight="1" ht="17.25">
      <c r="A23" s="3"/>
      <c r="B23" s="22"/>
      <c r="C23" s="119"/>
      <c r="D23" s="118"/>
      <c r="E23" s="118"/>
      <c r="F23" s="119"/>
      <c r="G23" s="149"/>
      <c r="H23" s="22"/>
      <c r="I23" s="22"/>
    </row>
    <row x14ac:dyDescent="0.25" r="24" customHeight="1" ht="16.5">
      <c r="A24" s="3"/>
      <c r="B24" s="22"/>
      <c r="C24" s="119"/>
      <c r="D24" s="118"/>
      <c r="E24" s="118"/>
      <c r="F24" s="119"/>
      <c r="G24" s="149"/>
      <c r="H24" s="22"/>
      <c r="I24" s="22"/>
    </row>
    <row x14ac:dyDescent="0.25" r="25" customHeight="1" ht="16.5">
      <c r="A25" s="3"/>
      <c r="B25" s="22"/>
      <c r="C25" s="119"/>
      <c r="D25" s="118"/>
      <c r="E25" s="118"/>
      <c r="F25" s="119"/>
      <c r="G25" s="149"/>
      <c r="H25" s="22"/>
      <c r="I25" s="22"/>
    </row>
    <row x14ac:dyDescent="0.25" r="26" customHeight="1" ht="16.5">
      <c r="A26" s="3"/>
      <c r="B26" s="22"/>
      <c r="C26" s="119"/>
      <c r="D26" s="118"/>
      <c r="E26" s="118"/>
      <c r="F26" s="119"/>
      <c r="G26" s="149"/>
      <c r="H26" s="22"/>
      <c r="I26" s="22"/>
    </row>
    <row x14ac:dyDescent="0.25" r="27" customHeight="1" ht="16.5">
      <c r="A27" s="3"/>
      <c r="B27" s="22"/>
      <c r="C27" s="119"/>
      <c r="D27" s="118"/>
      <c r="E27" s="118"/>
      <c r="F27" s="119"/>
      <c r="G27" s="149"/>
      <c r="H27" s="22"/>
      <c r="I27" s="22"/>
    </row>
    <row x14ac:dyDescent="0.25" r="28" customHeight="1" ht="16.5">
      <c r="A28" s="3"/>
      <c r="B28" s="22"/>
      <c r="C28" s="119"/>
      <c r="D28" s="118"/>
      <c r="E28" s="118"/>
      <c r="F28" s="119"/>
      <c r="G28" s="149"/>
      <c r="H28" s="22"/>
      <c r="I28" s="22"/>
    </row>
    <row x14ac:dyDescent="0.25" r="29" customHeight="1" ht="16.5">
      <c r="A29" s="3"/>
      <c r="B29" s="22"/>
      <c r="C29" s="119"/>
      <c r="D29" s="118"/>
      <c r="E29" s="118"/>
      <c r="F29" s="119"/>
      <c r="G29" s="149"/>
      <c r="H29" s="22"/>
      <c r="I29" s="22"/>
    </row>
    <row x14ac:dyDescent="0.25" r="30" customHeight="1" ht="16.5">
      <c r="A30" s="3"/>
      <c r="B30" s="22"/>
      <c r="C30" s="119"/>
      <c r="D30" s="118"/>
      <c r="E30" s="118"/>
      <c r="F30" s="119"/>
      <c r="G30" s="149"/>
      <c r="H30" s="22"/>
      <c r="I30" s="22"/>
    </row>
    <row x14ac:dyDescent="0.25" r="31" customHeight="1" ht="12.75">
      <c r="A31" s="3"/>
      <c r="B31" s="22"/>
      <c r="C31" s="119"/>
      <c r="D31" s="118"/>
      <c r="E31" s="118"/>
      <c r="F31" s="119"/>
      <c r="G31" s="149"/>
      <c r="H31" s="22"/>
      <c r="I31" s="22"/>
    </row>
    <row x14ac:dyDescent="0.25" r="32" customHeight="1" ht="12.75">
      <c r="A32" s="3"/>
      <c r="B32" s="22"/>
      <c r="C32" s="119"/>
      <c r="D32" s="118"/>
      <c r="E32" s="118"/>
      <c r="F32" s="119"/>
      <c r="G32" s="149"/>
      <c r="H32" s="22"/>
      <c r="I32" s="22"/>
    </row>
    <row x14ac:dyDescent="0.25" r="33" customHeight="1" ht="12.75">
      <c r="A33" s="3"/>
      <c r="B33" s="22"/>
      <c r="C33" s="119"/>
      <c r="D33" s="118"/>
      <c r="E33" s="118"/>
      <c r="F33" s="119"/>
      <c r="G33" s="149"/>
      <c r="H33" s="22"/>
      <c r="I33" s="22"/>
    </row>
    <row x14ac:dyDescent="0.25" r="34" customHeight="1" ht="12.75">
      <c r="A34" s="3"/>
      <c r="B34" s="22"/>
      <c r="C34" s="119"/>
      <c r="D34" s="118"/>
      <c r="E34" s="118"/>
      <c r="F34" s="119"/>
      <c r="G34" s="149"/>
      <c r="H34" s="22"/>
      <c r="I34" s="22"/>
    </row>
    <row x14ac:dyDescent="0.25" r="35" customHeight="1" ht="12.75">
      <c r="A35" s="3"/>
      <c r="B35" s="22"/>
      <c r="C35" s="119"/>
      <c r="D35" s="118"/>
      <c r="E35" s="118"/>
      <c r="F35" s="119"/>
      <c r="G35" s="149"/>
      <c r="H35" s="22"/>
      <c r="I35" s="22"/>
    </row>
    <row x14ac:dyDescent="0.25" r="36" customHeight="1" ht="12.75">
      <c r="A36" s="3"/>
      <c r="B36" s="22"/>
      <c r="C36" s="119"/>
      <c r="D36" s="118"/>
      <c r="E36" s="118"/>
      <c r="F36" s="119"/>
      <c r="G36" s="149"/>
      <c r="H36" s="22"/>
      <c r="I36" s="22"/>
    </row>
    <row x14ac:dyDescent="0.25" r="37" customHeight="1" ht="12.75">
      <c r="A37" s="3"/>
      <c r="B37" s="22"/>
      <c r="C37" s="119"/>
      <c r="D37" s="118"/>
      <c r="E37" s="118"/>
      <c r="F37" s="119"/>
      <c r="G37" s="149"/>
      <c r="H37" s="22"/>
      <c r="I37" s="22"/>
    </row>
    <row x14ac:dyDescent="0.25" r="38" customHeight="1" ht="12.75">
      <c r="A38" s="3"/>
      <c r="B38" s="22"/>
      <c r="C38" s="119"/>
      <c r="D38" s="118"/>
      <c r="E38" s="118"/>
      <c r="F38" s="119"/>
      <c r="G38" s="149"/>
      <c r="H38" s="22"/>
      <c r="I38" s="22"/>
    </row>
    <row x14ac:dyDescent="0.25" r="39" customHeight="1" ht="12.75">
      <c r="A39" s="3"/>
      <c r="B39" s="22"/>
      <c r="C39" s="119"/>
      <c r="D39" s="118"/>
      <c r="E39" s="118"/>
      <c r="F39" s="119"/>
      <c r="G39" s="149"/>
      <c r="H39" s="22"/>
      <c r="I39" s="22"/>
    </row>
    <row x14ac:dyDescent="0.25" r="40" customHeight="1" ht="12.75">
      <c r="A40" s="3"/>
      <c r="B40" s="22"/>
      <c r="C40" s="119"/>
      <c r="D40" s="118"/>
      <c r="E40" s="118"/>
      <c r="F40" s="119"/>
      <c r="G40" s="149"/>
      <c r="H40" s="22"/>
      <c r="I40" s="22"/>
    </row>
    <row x14ac:dyDescent="0.25" r="41" customHeight="1" ht="12.75">
      <c r="A41" s="3"/>
      <c r="B41" s="22"/>
      <c r="C41" s="119"/>
      <c r="D41" s="118"/>
      <c r="E41" s="118"/>
      <c r="F41" s="119"/>
      <c r="G41" s="149"/>
      <c r="H41" s="22"/>
      <c r="I41" s="22"/>
    </row>
    <row x14ac:dyDescent="0.25" r="42" customHeight="1" ht="12.75">
      <c r="A42" s="3"/>
      <c r="B42" s="22"/>
      <c r="C42" s="119"/>
      <c r="D42" s="118"/>
      <c r="E42" s="118"/>
      <c r="F42" s="119"/>
      <c r="G42" s="149"/>
      <c r="H42" s="22"/>
      <c r="I42" s="22"/>
    </row>
    <row x14ac:dyDescent="0.25" r="43" customHeight="1" ht="12.75">
      <c r="A43" s="3"/>
      <c r="B43" s="22"/>
      <c r="C43" s="119"/>
      <c r="D43" s="118"/>
      <c r="E43" s="118"/>
      <c r="F43" s="119"/>
      <c r="G43" s="149"/>
      <c r="H43" s="22"/>
      <c r="I43" s="22"/>
    </row>
    <row x14ac:dyDescent="0.25" r="44" customHeight="1" ht="12.75">
      <c r="A44" s="3"/>
      <c r="B44" s="22"/>
      <c r="C44" s="119"/>
      <c r="D44" s="118"/>
      <c r="E44" s="118"/>
      <c r="F44" s="119"/>
      <c r="G44" s="149"/>
      <c r="H44" s="22"/>
      <c r="I44" s="22"/>
    </row>
    <row x14ac:dyDescent="0.25" r="45" customHeight="1" ht="12.75">
      <c r="A45" s="3"/>
      <c r="B45" s="22"/>
      <c r="C45" s="119"/>
      <c r="D45" s="118"/>
      <c r="E45" s="118"/>
      <c r="F45" s="119"/>
      <c r="G45" s="149"/>
      <c r="H45" s="22"/>
      <c r="I45" s="22"/>
    </row>
    <row x14ac:dyDescent="0.25" r="46" customHeight="1" ht="12.75">
      <c r="A46" s="3"/>
      <c r="B46" s="22"/>
      <c r="C46" s="119"/>
      <c r="D46" s="118"/>
      <c r="E46" s="118"/>
      <c r="F46" s="119"/>
      <c r="G46" s="149"/>
      <c r="H46" s="22"/>
      <c r="I46" s="22"/>
    </row>
    <row x14ac:dyDescent="0.25" r="47" customHeight="1" ht="12.75">
      <c r="A47" s="3"/>
      <c r="B47" s="22"/>
      <c r="C47" s="119"/>
      <c r="D47" s="118"/>
      <c r="E47" s="118"/>
      <c r="F47" s="119"/>
      <c r="G47" s="149"/>
      <c r="H47" s="22"/>
      <c r="I47" s="22"/>
    </row>
    <row x14ac:dyDescent="0.25" r="48" customHeight="1" ht="12.75">
      <c r="A48" s="3"/>
      <c r="B48" s="22"/>
      <c r="C48" s="119"/>
      <c r="D48" s="118"/>
      <c r="E48" s="118"/>
      <c r="F48" s="119"/>
      <c r="G48" s="149"/>
      <c r="H48" s="22"/>
      <c r="I48" s="22"/>
    </row>
    <row x14ac:dyDescent="0.25" r="49" customHeight="1" ht="12.75">
      <c r="A49" s="3"/>
      <c r="B49" s="22"/>
      <c r="C49" s="119"/>
      <c r="D49" s="118"/>
      <c r="E49" s="118"/>
      <c r="F49" s="119"/>
      <c r="G49" s="149"/>
      <c r="H49" s="22"/>
      <c r="I49" s="22"/>
    </row>
    <row x14ac:dyDescent="0.25" r="50" customHeight="1" ht="12.75">
      <c r="A50" s="3"/>
      <c r="B50" s="22"/>
      <c r="C50" s="119"/>
      <c r="D50" s="118"/>
      <c r="E50" s="118"/>
      <c r="F50" s="119"/>
      <c r="G50" s="149"/>
      <c r="H50" s="22"/>
      <c r="I50" s="22"/>
    </row>
    <row x14ac:dyDescent="0.25" r="51" customHeight="1" ht="12.75">
      <c r="A51" s="3"/>
      <c r="B51" s="22"/>
      <c r="C51" s="119"/>
      <c r="D51" s="118"/>
      <c r="E51" s="118"/>
      <c r="F51" s="119"/>
      <c r="G51" s="149"/>
      <c r="H51" s="22"/>
      <c r="I51" s="22"/>
    </row>
    <row x14ac:dyDescent="0.25" r="52" customHeight="1" ht="12.75">
      <c r="A52" s="3"/>
      <c r="B52" s="22"/>
      <c r="C52" s="119"/>
      <c r="D52" s="118"/>
      <c r="E52" s="118"/>
      <c r="F52" s="119"/>
      <c r="G52" s="149"/>
      <c r="H52" s="22"/>
      <c r="I52" s="22"/>
    </row>
    <row x14ac:dyDescent="0.25" r="53" customHeight="1" ht="12.75">
      <c r="A53" s="3"/>
      <c r="B53" s="22"/>
      <c r="C53" s="119"/>
      <c r="D53" s="118"/>
      <c r="E53" s="118"/>
      <c r="F53" s="119"/>
      <c r="G53" s="149"/>
      <c r="H53" s="22"/>
      <c r="I53" s="22"/>
    </row>
    <row x14ac:dyDescent="0.25" r="54" customHeight="1" ht="12.75">
      <c r="A54" s="3"/>
      <c r="B54" s="22"/>
      <c r="C54" s="119"/>
      <c r="D54" s="118"/>
      <c r="E54" s="118"/>
      <c r="F54" s="119"/>
      <c r="G54" s="149"/>
      <c r="H54" s="22"/>
      <c r="I54" s="22"/>
    </row>
    <row x14ac:dyDescent="0.25" r="55" customHeight="1" ht="12.75">
      <c r="A55" s="3"/>
      <c r="B55" s="22"/>
      <c r="C55" s="119"/>
      <c r="D55" s="118"/>
      <c r="E55" s="118"/>
      <c r="F55" s="119"/>
      <c r="G55" s="149"/>
      <c r="H55" s="22"/>
      <c r="I55" s="22"/>
    </row>
    <row x14ac:dyDescent="0.25" r="56" customHeight="1" ht="12.75">
      <c r="A56" s="3"/>
      <c r="B56" s="22"/>
      <c r="C56" s="119"/>
      <c r="D56" s="118"/>
      <c r="E56" s="118"/>
      <c r="F56" s="119"/>
      <c r="G56" s="149"/>
      <c r="H56" s="22"/>
      <c r="I56" s="22"/>
    </row>
    <row x14ac:dyDescent="0.25" r="57" customHeight="1" ht="12.75">
      <c r="A57" s="3"/>
      <c r="B57" s="22"/>
      <c r="C57" s="119"/>
      <c r="D57" s="118"/>
      <c r="E57" s="118"/>
      <c r="F57" s="119"/>
      <c r="G57" s="149"/>
      <c r="H57" s="22"/>
      <c r="I57" s="22"/>
    </row>
    <row x14ac:dyDescent="0.25" r="58" customHeight="1" ht="12.75">
      <c r="A58" s="3"/>
      <c r="B58" s="22"/>
      <c r="C58" s="119"/>
      <c r="D58" s="118"/>
      <c r="E58" s="118"/>
      <c r="F58" s="119"/>
      <c r="G58" s="149"/>
      <c r="H58" s="22"/>
      <c r="I58" s="22"/>
    </row>
    <row x14ac:dyDescent="0.25" r="59" customHeight="1" ht="12.75">
      <c r="A59" s="3"/>
      <c r="B59" s="22"/>
      <c r="C59" s="119"/>
      <c r="D59" s="118"/>
      <c r="E59" s="118"/>
      <c r="F59" s="119"/>
      <c r="G59" s="149"/>
      <c r="H59" s="22"/>
      <c r="I59" s="22"/>
    </row>
    <row x14ac:dyDescent="0.25" r="60" customHeight="1" ht="12.75">
      <c r="A60" s="3"/>
      <c r="B60" s="22"/>
      <c r="C60" s="119"/>
      <c r="D60" s="118"/>
      <c r="E60" s="118"/>
      <c r="F60" s="119"/>
      <c r="G60" s="149"/>
      <c r="H60" s="22"/>
      <c r="I60" s="22"/>
    </row>
    <row x14ac:dyDescent="0.25" r="61" customHeight="1" ht="12.75">
      <c r="A61" s="3"/>
      <c r="B61" s="22"/>
      <c r="C61" s="119"/>
      <c r="D61" s="118"/>
      <c r="E61" s="118"/>
      <c r="F61" s="119"/>
      <c r="G61" s="149"/>
      <c r="H61" s="22"/>
      <c r="I61" s="22"/>
    </row>
    <row x14ac:dyDescent="0.25" r="62" customHeight="1" ht="12.75">
      <c r="A62" s="3"/>
      <c r="B62" s="22"/>
      <c r="C62" s="119"/>
      <c r="D62" s="118"/>
      <c r="E62" s="118"/>
      <c r="F62" s="119"/>
      <c r="G62" s="149"/>
      <c r="H62" s="22"/>
      <c r="I62" s="22"/>
    </row>
    <row x14ac:dyDescent="0.25" r="63" customHeight="1" ht="12.75">
      <c r="A63" s="3"/>
      <c r="B63" s="22"/>
      <c r="C63" s="119"/>
      <c r="D63" s="118"/>
      <c r="E63" s="118"/>
      <c r="F63" s="119"/>
      <c r="G63" s="149"/>
      <c r="H63" s="22"/>
      <c r="I63" s="22"/>
    </row>
    <row x14ac:dyDescent="0.25" r="64" customHeight="1" ht="12.75">
      <c r="A64" s="3"/>
      <c r="B64" s="22"/>
      <c r="C64" s="119"/>
      <c r="D64" s="118"/>
      <c r="E64" s="118"/>
      <c r="F64" s="119"/>
      <c r="G64" s="149"/>
      <c r="H64" s="22"/>
      <c r="I64" s="22"/>
    </row>
    <row x14ac:dyDescent="0.25" r="65" customHeight="1" ht="12.75">
      <c r="A65" s="3"/>
      <c r="B65" s="22"/>
      <c r="C65" s="119"/>
      <c r="D65" s="118"/>
      <c r="E65" s="118"/>
      <c r="F65" s="119"/>
      <c r="G65" s="149"/>
      <c r="H65" s="22"/>
      <c r="I65" s="22"/>
    </row>
    <row x14ac:dyDescent="0.25" r="66" customHeight="1" ht="12.75">
      <c r="A66" s="3"/>
      <c r="B66" s="22"/>
      <c r="C66" s="119"/>
      <c r="D66" s="118"/>
      <c r="E66" s="118"/>
      <c r="F66" s="119"/>
      <c r="G66" s="149"/>
      <c r="H66" s="22"/>
      <c r="I66" s="22"/>
    </row>
    <row x14ac:dyDescent="0.25" r="67" customHeight="1" ht="12.75">
      <c r="A67" s="3"/>
      <c r="B67" s="22"/>
      <c r="C67" s="119"/>
      <c r="D67" s="118"/>
      <c r="E67" s="118"/>
      <c r="F67" s="119"/>
      <c r="G67" s="149"/>
      <c r="H67" s="22"/>
      <c r="I67" s="22"/>
    </row>
    <row x14ac:dyDescent="0.25" r="68" customHeight="1" ht="12.75">
      <c r="A68" s="3"/>
      <c r="B68" s="22"/>
      <c r="C68" s="119"/>
      <c r="D68" s="118"/>
      <c r="E68" s="118"/>
      <c r="F68" s="119"/>
      <c r="G68" s="149"/>
      <c r="H68" s="22"/>
      <c r="I68" s="22"/>
    </row>
    <row x14ac:dyDescent="0.25" r="69" customHeight="1" ht="12.75">
      <c r="A69" s="3"/>
      <c r="B69" s="22"/>
      <c r="C69" s="119"/>
      <c r="D69" s="118"/>
      <c r="E69" s="118"/>
      <c r="F69" s="119"/>
      <c r="G69" s="149"/>
      <c r="H69" s="22"/>
      <c r="I69" s="22"/>
    </row>
    <row x14ac:dyDescent="0.25" r="70" customHeight="1" ht="12.75">
      <c r="A70" s="3"/>
      <c r="B70" s="22"/>
      <c r="C70" s="119"/>
      <c r="D70" s="118"/>
      <c r="E70" s="118"/>
      <c r="F70" s="119"/>
      <c r="G70" s="149"/>
      <c r="H70" s="22"/>
      <c r="I70" s="22"/>
    </row>
    <row x14ac:dyDescent="0.25" r="71" customHeight="1" ht="12.75">
      <c r="A71" s="3"/>
      <c r="B71" s="22"/>
      <c r="C71" s="119"/>
      <c r="D71" s="118"/>
      <c r="E71" s="118"/>
      <c r="F71" s="119"/>
      <c r="G71" s="149"/>
      <c r="H71" s="22"/>
      <c r="I71" s="22"/>
    </row>
    <row x14ac:dyDescent="0.25" r="72" customHeight="1" ht="12.75">
      <c r="A72" s="3"/>
      <c r="B72" s="22"/>
      <c r="C72" s="119"/>
      <c r="D72" s="118"/>
      <c r="E72" s="118"/>
      <c r="F72" s="119"/>
      <c r="G72" s="149"/>
      <c r="H72" s="22"/>
      <c r="I72" s="22"/>
    </row>
    <row x14ac:dyDescent="0.25" r="73" customHeight="1" ht="12.75">
      <c r="A73" s="3"/>
      <c r="B73" s="22"/>
      <c r="C73" s="119"/>
      <c r="D73" s="118"/>
      <c r="E73" s="118"/>
      <c r="F73" s="119"/>
      <c r="G73" s="149"/>
      <c r="H73" s="22"/>
      <c r="I73" s="22"/>
    </row>
    <row x14ac:dyDescent="0.25" r="74" customHeight="1" ht="12.75">
      <c r="A74" s="3"/>
      <c r="B74" s="22"/>
      <c r="C74" s="119"/>
      <c r="D74" s="118"/>
      <c r="E74" s="118"/>
      <c r="F74" s="119"/>
      <c r="G74" s="149"/>
      <c r="H74" s="22"/>
      <c r="I74" s="22"/>
    </row>
    <row x14ac:dyDescent="0.25" r="75" customHeight="1" ht="12.75">
      <c r="A75" s="3"/>
      <c r="B75" s="22"/>
      <c r="C75" s="119"/>
      <c r="D75" s="118"/>
      <c r="E75" s="118"/>
      <c r="F75" s="119"/>
      <c r="G75" s="149"/>
      <c r="H75" s="22"/>
      <c r="I75" s="22"/>
    </row>
    <row x14ac:dyDescent="0.25" r="76" customHeight="1" ht="12.75">
      <c r="A76" s="3"/>
      <c r="B76" s="22"/>
      <c r="C76" s="119"/>
      <c r="D76" s="118"/>
      <c r="E76" s="118"/>
      <c r="F76" s="119"/>
      <c r="G76" s="149"/>
      <c r="H76" s="22"/>
      <c r="I76" s="22"/>
    </row>
    <row x14ac:dyDescent="0.25" r="77" customHeight="1" ht="12.75">
      <c r="A77" s="3"/>
      <c r="B77" s="22"/>
      <c r="C77" s="119"/>
      <c r="D77" s="118"/>
      <c r="E77" s="118"/>
      <c r="F77" s="119"/>
      <c r="G77" s="149"/>
      <c r="H77" s="22"/>
      <c r="I77" s="22"/>
    </row>
    <row x14ac:dyDescent="0.25" r="78" customHeight="1" ht="12.75">
      <c r="A78" s="3"/>
      <c r="B78" s="22"/>
      <c r="C78" s="119"/>
      <c r="D78" s="118"/>
      <c r="E78" s="118"/>
      <c r="F78" s="119"/>
      <c r="G78" s="149"/>
      <c r="H78" s="22"/>
      <c r="I78" s="22"/>
    </row>
    <row x14ac:dyDescent="0.25" r="79" customHeight="1" ht="12.75">
      <c r="A79" s="3"/>
      <c r="B79" s="22"/>
      <c r="C79" s="119"/>
      <c r="D79" s="118"/>
      <c r="E79" s="118"/>
      <c r="F79" s="119"/>
      <c r="G79" s="149"/>
      <c r="H79" s="22"/>
      <c r="I79" s="22"/>
    </row>
    <row x14ac:dyDescent="0.25" r="80" customHeight="1" ht="12.75">
      <c r="A80" s="3"/>
      <c r="B80" s="22"/>
      <c r="C80" s="119"/>
      <c r="D80" s="118"/>
      <c r="E80" s="118"/>
      <c r="F80" s="119"/>
      <c r="G80" s="149"/>
      <c r="H80" s="22"/>
      <c r="I80" s="22"/>
    </row>
    <row x14ac:dyDescent="0.25" r="81" customHeight="1" ht="12.75">
      <c r="A81" s="3"/>
      <c r="B81" s="22"/>
      <c r="C81" s="119"/>
      <c r="D81" s="118"/>
      <c r="E81" s="118"/>
      <c r="F81" s="119"/>
      <c r="G81" s="149"/>
      <c r="H81" s="22"/>
      <c r="I81" s="22"/>
    </row>
    <row x14ac:dyDescent="0.25" r="82" customHeight="1" ht="12.75">
      <c r="A82" s="3"/>
      <c r="B82" s="22"/>
      <c r="C82" s="119"/>
      <c r="D82" s="118"/>
      <c r="E82" s="118"/>
      <c r="F82" s="119"/>
      <c r="G82" s="149"/>
      <c r="H82" s="22"/>
      <c r="I82" s="22"/>
    </row>
    <row x14ac:dyDescent="0.25" r="83" customHeight="1" ht="12.75">
      <c r="A83" s="3"/>
      <c r="B83" s="22"/>
      <c r="C83" s="119"/>
      <c r="D83" s="118"/>
      <c r="E83" s="118"/>
      <c r="F83" s="119"/>
      <c r="G83" s="149"/>
      <c r="H83" s="22"/>
      <c r="I83" s="22"/>
    </row>
    <row x14ac:dyDescent="0.25" r="84" customHeight="1" ht="12.75">
      <c r="A84" s="3"/>
      <c r="B84" s="22"/>
      <c r="C84" s="119"/>
      <c r="D84" s="118"/>
      <c r="E84" s="118"/>
      <c r="F84" s="119"/>
      <c r="G84" s="149"/>
      <c r="H84" s="22"/>
      <c r="I84" s="22"/>
    </row>
    <row x14ac:dyDescent="0.25" r="85" customHeight="1" ht="12.75">
      <c r="A85" s="3"/>
      <c r="B85" s="22"/>
      <c r="C85" s="119"/>
      <c r="D85" s="118"/>
      <c r="E85" s="118"/>
      <c r="F85" s="119"/>
      <c r="G85" s="149"/>
      <c r="H85" s="22"/>
      <c r="I85" s="22"/>
    </row>
    <row x14ac:dyDescent="0.25" r="86" customHeight="1" ht="12.75">
      <c r="A86" s="3"/>
      <c r="B86" s="22"/>
      <c r="C86" s="119"/>
      <c r="D86" s="118"/>
      <c r="E86" s="118"/>
      <c r="F86" s="119"/>
      <c r="G86" s="149"/>
      <c r="H86" s="22"/>
      <c r="I86" s="22"/>
    </row>
    <row x14ac:dyDescent="0.25" r="87" customHeight="1" ht="12.75">
      <c r="A87" s="3"/>
      <c r="B87" s="22"/>
      <c r="C87" s="119"/>
      <c r="D87" s="118"/>
      <c r="E87" s="118"/>
      <c r="F87" s="119"/>
      <c r="G87" s="149"/>
      <c r="H87" s="22"/>
      <c r="I87" s="22"/>
    </row>
    <row x14ac:dyDescent="0.25" r="88" customHeight="1" ht="12.75">
      <c r="A88" s="3"/>
      <c r="B88" s="22"/>
      <c r="C88" s="119"/>
      <c r="D88" s="118"/>
      <c r="E88" s="118"/>
      <c r="F88" s="119"/>
      <c r="G88" s="149"/>
      <c r="H88" s="22"/>
      <c r="I88" s="22"/>
    </row>
    <row x14ac:dyDescent="0.25" r="89" customHeight="1" ht="12.75">
      <c r="A89" s="3"/>
      <c r="B89" s="22"/>
      <c r="C89" s="119"/>
      <c r="D89" s="118"/>
      <c r="E89" s="118"/>
      <c r="F89" s="119"/>
      <c r="G89" s="149"/>
      <c r="H89" s="22"/>
      <c r="I89" s="22"/>
    </row>
    <row x14ac:dyDescent="0.25" r="90" customHeight="1" ht="12.75">
      <c r="A90" s="3"/>
      <c r="B90" s="22"/>
      <c r="C90" s="119"/>
      <c r="D90" s="118"/>
      <c r="E90" s="118"/>
      <c r="F90" s="119"/>
      <c r="G90" s="149"/>
      <c r="H90" s="22"/>
      <c r="I90" s="22"/>
    </row>
    <row x14ac:dyDescent="0.25" r="91" customHeight="1" ht="12.75">
      <c r="A91" s="3"/>
      <c r="B91" s="22"/>
      <c r="C91" s="119"/>
      <c r="D91" s="118"/>
      <c r="E91" s="118"/>
      <c r="F91" s="119"/>
      <c r="G91" s="149"/>
      <c r="H91" s="22"/>
      <c r="I91" s="22"/>
    </row>
    <row x14ac:dyDescent="0.25" r="92" customHeight="1" ht="12.75">
      <c r="A92" s="3"/>
      <c r="B92" s="22"/>
      <c r="C92" s="119"/>
      <c r="D92" s="118"/>
      <c r="E92" s="118"/>
      <c r="F92" s="119"/>
      <c r="G92" s="149"/>
      <c r="H92" s="22"/>
      <c r="I92" s="22"/>
    </row>
    <row x14ac:dyDescent="0.25" r="93" customHeight="1" ht="12.75">
      <c r="A93" s="3"/>
      <c r="B93" s="22"/>
      <c r="C93" s="119"/>
      <c r="D93" s="118"/>
      <c r="E93" s="118"/>
      <c r="F93" s="119"/>
      <c r="G93" s="149"/>
      <c r="H93" s="22"/>
      <c r="I93" s="22"/>
    </row>
    <row x14ac:dyDescent="0.25" r="94" customHeight="1" ht="12.75">
      <c r="A94" s="3"/>
      <c r="B94" s="22"/>
      <c r="C94" s="119"/>
      <c r="D94" s="118"/>
      <c r="E94" s="118"/>
      <c r="F94" s="119"/>
      <c r="G94" s="149"/>
      <c r="H94" s="22"/>
      <c r="I94" s="22"/>
    </row>
    <row x14ac:dyDescent="0.25" r="95" customHeight="1" ht="12.75">
      <c r="A95" s="3"/>
      <c r="B95" s="22"/>
      <c r="C95" s="119"/>
      <c r="D95" s="118"/>
      <c r="E95" s="118"/>
      <c r="F95" s="119"/>
      <c r="G95" s="149"/>
      <c r="H95" s="22"/>
      <c r="I95" s="22"/>
    </row>
    <row x14ac:dyDescent="0.25" r="96" customHeight="1" ht="12.75">
      <c r="A96" s="3"/>
      <c r="B96" s="22"/>
      <c r="C96" s="119"/>
      <c r="D96" s="118"/>
      <c r="E96" s="118"/>
      <c r="F96" s="119"/>
      <c r="G96" s="149"/>
      <c r="H96" s="22"/>
      <c r="I96" s="22"/>
    </row>
    <row x14ac:dyDescent="0.25" r="97" customHeight="1" ht="12.75">
      <c r="A97" s="3"/>
      <c r="B97" s="22"/>
      <c r="C97" s="119"/>
      <c r="D97" s="118"/>
      <c r="E97" s="118"/>
      <c r="F97" s="119"/>
      <c r="G97" s="149"/>
      <c r="H97" s="22"/>
      <c r="I97" s="22"/>
    </row>
    <row x14ac:dyDescent="0.25" r="98" customHeight="1" ht="12.75">
      <c r="A98" s="3"/>
      <c r="B98" s="22"/>
      <c r="C98" s="119"/>
      <c r="D98" s="118"/>
      <c r="E98" s="118"/>
      <c r="F98" s="119"/>
      <c r="G98" s="149"/>
      <c r="H98" s="22"/>
      <c r="I98" s="22"/>
    </row>
    <row x14ac:dyDescent="0.25" r="99" customHeight="1" ht="12.75">
      <c r="A99" s="3"/>
      <c r="B99" s="22"/>
      <c r="C99" s="119"/>
      <c r="D99" s="118"/>
      <c r="E99" s="118"/>
      <c r="F99" s="119"/>
      <c r="G99" s="149"/>
      <c r="H99" s="22"/>
      <c r="I99" s="22"/>
    </row>
    <row x14ac:dyDescent="0.25" r="100" customHeight="1" ht="12.75">
      <c r="A100" s="3"/>
      <c r="B100" s="22"/>
      <c r="C100" s="119"/>
      <c r="D100" s="118"/>
      <c r="E100" s="118"/>
      <c r="F100" s="119"/>
      <c r="G100" s="149"/>
      <c r="H100" s="22"/>
      <c r="I100" s="22"/>
    </row>
    <row x14ac:dyDescent="0.25" r="101" customHeight="1" ht="12.75">
      <c r="A101" s="3"/>
      <c r="B101" s="22"/>
      <c r="C101" s="119"/>
      <c r="D101" s="118"/>
      <c r="E101" s="118"/>
      <c r="F101" s="119"/>
      <c r="G101" s="149"/>
      <c r="H101" s="22"/>
      <c r="I101" s="22"/>
    </row>
    <row x14ac:dyDescent="0.25" r="102" customHeight="1" ht="12.75">
      <c r="A102" s="3"/>
      <c r="B102" s="22"/>
      <c r="C102" s="119"/>
      <c r="D102" s="118"/>
      <c r="E102" s="118"/>
      <c r="F102" s="119"/>
      <c r="G102" s="149"/>
      <c r="H102" s="22"/>
      <c r="I102" s="22"/>
    </row>
    <row x14ac:dyDescent="0.25" r="103" customHeight="1" ht="12.75">
      <c r="A103" s="3"/>
      <c r="B103" s="22"/>
      <c r="C103" s="119"/>
      <c r="D103" s="118"/>
      <c r="E103" s="118"/>
      <c r="F103" s="119"/>
      <c r="G103" s="149"/>
      <c r="H103" s="22"/>
      <c r="I103" s="22"/>
    </row>
    <row x14ac:dyDescent="0.25" r="104" customHeight="1" ht="12.75">
      <c r="A104" s="3"/>
      <c r="B104" s="22"/>
      <c r="C104" s="119"/>
      <c r="D104" s="118"/>
      <c r="E104" s="118"/>
      <c r="F104" s="119"/>
      <c r="G104" s="149"/>
      <c r="H104" s="22"/>
      <c r="I104" s="22"/>
    </row>
    <row x14ac:dyDescent="0.25" r="105" customHeight="1" ht="12.75">
      <c r="A105" s="3"/>
      <c r="B105" s="22"/>
      <c r="C105" s="119"/>
      <c r="D105" s="118"/>
      <c r="E105" s="118"/>
      <c r="F105" s="119"/>
      <c r="G105" s="149"/>
      <c r="H105" s="22"/>
      <c r="I105" s="22"/>
    </row>
    <row x14ac:dyDescent="0.25" r="106" customHeight="1" ht="12.75">
      <c r="A106" s="3"/>
      <c r="B106" s="22"/>
      <c r="C106" s="119"/>
      <c r="D106" s="118"/>
      <c r="E106" s="118"/>
      <c r="F106" s="119"/>
      <c r="G106" s="149"/>
      <c r="H106" s="22"/>
      <c r="I106" s="22"/>
    </row>
    <row x14ac:dyDescent="0.25" r="107" customHeight="1" ht="12.75">
      <c r="A107" s="3"/>
      <c r="B107" s="22"/>
      <c r="C107" s="119"/>
      <c r="D107" s="118"/>
      <c r="E107" s="118"/>
      <c r="F107" s="119"/>
      <c r="G107" s="149"/>
      <c r="H107" s="22"/>
      <c r="I107" s="22"/>
    </row>
    <row x14ac:dyDescent="0.25" r="108" customHeight="1" ht="12.75">
      <c r="A108" s="3"/>
      <c r="B108" s="22"/>
      <c r="C108" s="119"/>
      <c r="D108" s="118"/>
      <c r="E108" s="118"/>
      <c r="F108" s="119"/>
      <c r="G108" s="149"/>
      <c r="H108" s="22"/>
      <c r="I108" s="22"/>
    </row>
    <row x14ac:dyDescent="0.25" r="109" customHeight="1" ht="12.75">
      <c r="A109" s="3"/>
      <c r="B109" s="22"/>
      <c r="C109" s="119"/>
      <c r="D109" s="118"/>
      <c r="E109" s="118"/>
      <c r="F109" s="119"/>
      <c r="G109" s="149"/>
      <c r="H109" s="22"/>
      <c r="I109" s="22"/>
    </row>
    <row x14ac:dyDescent="0.25" r="110" customHeight="1" ht="12.75">
      <c r="A110" s="3"/>
      <c r="B110" s="22"/>
      <c r="C110" s="119"/>
      <c r="D110" s="118"/>
      <c r="E110" s="118"/>
      <c r="F110" s="119"/>
      <c r="G110" s="149"/>
      <c r="H110" s="22"/>
      <c r="I110" s="22"/>
    </row>
    <row x14ac:dyDescent="0.25" r="111" customHeight="1" ht="12.75">
      <c r="A111" s="3"/>
      <c r="B111" s="22"/>
      <c r="C111" s="119"/>
      <c r="D111" s="118"/>
      <c r="E111" s="118"/>
      <c r="F111" s="119"/>
      <c r="G111" s="149"/>
      <c r="H111" s="22"/>
      <c r="I111" s="22"/>
    </row>
    <row x14ac:dyDescent="0.25" r="112" customHeight="1" ht="12.75">
      <c r="A112" s="3"/>
      <c r="B112" s="22"/>
      <c r="C112" s="119"/>
      <c r="D112" s="118"/>
      <c r="E112" s="118"/>
      <c r="F112" s="119"/>
      <c r="G112" s="149"/>
      <c r="H112" s="22"/>
      <c r="I112" s="22"/>
    </row>
    <row x14ac:dyDescent="0.25" r="113" customHeight="1" ht="12.75">
      <c r="A113" s="3"/>
      <c r="B113" s="22"/>
      <c r="C113" s="119"/>
      <c r="D113" s="118"/>
      <c r="E113" s="118"/>
      <c r="F113" s="119"/>
      <c r="G113" s="149"/>
      <c r="H113" s="22"/>
      <c r="I113" s="22"/>
    </row>
    <row x14ac:dyDescent="0.25" r="114" customHeight="1" ht="12.75">
      <c r="A114" s="3"/>
      <c r="B114" s="22"/>
      <c r="C114" s="119"/>
      <c r="D114" s="118"/>
      <c r="E114" s="118"/>
      <c r="F114" s="119"/>
      <c r="G114" s="149"/>
      <c r="H114" s="22"/>
      <c r="I114" s="22"/>
    </row>
    <row x14ac:dyDescent="0.25" r="115" customHeight="1" ht="12.75">
      <c r="A115" s="3"/>
      <c r="B115" s="22"/>
      <c r="C115" s="119"/>
      <c r="D115" s="118"/>
      <c r="E115" s="118"/>
      <c r="F115" s="119"/>
      <c r="G115" s="149"/>
      <c r="H115" s="22"/>
      <c r="I115" s="22"/>
    </row>
    <row x14ac:dyDescent="0.25" r="116" customHeight="1" ht="12.75">
      <c r="A116" s="3"/>
      <c r="B116" s="22"/>
      <c r="C116" s="119"/>
      <c r="D116" s="118"/>
      <c r="E116" s="118"/>
      <c r="F116" s="119"/>
      <c r="G116" s="149"/>
      <c r="H116" s="22"/>
      <c r="I116" s="22"/>
    </row>
    <row x14ac:dyDescent="0.25" r="117" customHeight="1" ht="12.75">
      <c r="A117" s="3"/>
      <c r="B117" s="22"/>
      <c r="C117" s="119"/>
      <c r="D117" s="118"/>
      <c r="E117" s="118"/>
      <c r="F117" s="119"/>
      <c r="G117" s="149"/>
      <c r="H117" s="22"/>
      <c r="I117" s="22"/>
    </row>
    <row x14ac:dyDescent="0.25" r="118" customHeight="1" ht="12.75">
      <c r="A118" s="3"/>
      <c r="B118" s="22"/>
      <c r="C118" s="119"/>
      <c r="D118" s="118"/>
      <c r="E118" s="118"/>
      <c r="F118" s="119"/>
      <c r="G118" s="149"/>
      <c r="H118" s="22"/>
      <c r="I118" s="22"/>
    </row>
    <row x14ac:dyDescent="0.25" r="119" customHeight="1" ht="12.75">
      <c r="A119" s="3"/>
      <c r="B119" s="22"/>
      <c r="C119" s="119"/>
      <c r="D119" s="118"/>
      <c r="E119" s="118"/>
      <c r="F119" s="119"/>
      <c r="G119" s="149"/>
      <c r="H119" s="22"/>
      <c r="I119" s="22"/>
    </row>
    <row x14ac:dyDescent="0.25" r="120" customHeight="1" ht="12.75">
      <c r="A120" s="3"/>
      <c r="B120" s="22"/>
      <c r="C120" s="119"/>
      <c r="D120" s="118"/>
      <c r="E120" s="118"/>
      <c r="F120" s="119"/>
      <c r="G120" s="149"/>
      <c r="H120" s="22"/>
      <c r="I120" s="22"/>
    </row>
    <row x14ac:dyDescent="0.25" r="121" customHeight="1" ht="12.75">
      <c r="A121" s="3"/>
      <c r="B121" s="22"/>
      <c r="C121" s="119"/>
      <c r="D121" s="118"/>
      <c r="E121" s="118"/>
      <c r="F121" s="119"/>
      <c r="G121" s="149"/>
      <c r="H121" s="22"/>
      <c r="I121" s="22"/>
    </row>
    <row x14ac:dyDescent="0.25" r="122" customHeight="1" ht="12.75">
      <c r="A122" s="3"/>
      <c r="B122" s="22"/>
      <c r="C122" s="119"/>
      <c r="D122" s="118"/>
      <c r="E122" s="118"/>
      <c r="F122" s="119"/>
      <c r="G122" s="149"/>
      <c r="H122" s="22"/>
      <c r="I122" s="22"/>
    </row>
    <row x14ac:dyDescent="0.25" r="123" customHeight="1" ht="12.75">
      <c r="A123" s="3"/>
      <c r="B123" s="22"/>
      <c r="C123" s="119"/>
      <c r="D123" s="118"/>
      <c r="E123" s="118"/>
      <c r="F123" s="119"/>
      <c r="G123" s="149"/>
      <c r="H123" s="22"/>
      <c r="I123" s="22"/>
    </row>
    <row x14ac:dyDescent="0.25" r="124" customHeight="1" ht="12.75">
      <c r="A124" s="3"/>
      <c r="B124" s="22"/>
      <c r="C124" s="119"/>
      <c r="D124" s="118"/>
      <c r="E124" s="118"/>
      <c r="F124" s="119"/>
      <c r="G124" s="149"/>
      <c r="H124" s="22"/>
      <c r="I124" s="22"/>
    </row>
    <row x14ac:dyDescent="0.25" r="125" customHeight="1" ht="12.75">
      <c r="A125" s="3"/>
      <c r="B125" s="22"/>
      <c r="C125" s="119"/>
      <c r="D125" s="118"/>
      <c r="E125" s="118"/>
      <c r="F125" s="119"/>
      <c r="G125" s="149"/>
      <c r="H125" s="22"/>
      <c r="I125" s="22"/>
    </row>
    <row x14ac:dyDescent="0.25" r="126" customHeight="1" ht="12.75">
      <c r="A126" s="3"/>
      <c r="B126" s="22"/>
      <c r="C126" s="119"/>
      <c r="D126" s="118"/>
      <c r="E126" s="118"/>
      <c r="F126" s="119"/>
      <c r="G126" s="149"/>
      <c r="H126" s="22"/>
      <c r="I126" s="22"/>
    </row>
    <row x14ac:dyDescent="0.25" r="127" customHeight="1" ht="12.75">
      <c r="A127" s="3"/>
      <c r="B127" s="22"/>
      <c r="C127" s="119"/>
      <c r="D127" s="118"/>
      <c r="E127" s="118"/>
      <c r="F127" s="119"/>
      <c r="G127" s="149"/>
      <c r="H127" s="22"/>
      <c r="I127" s="22"/>
    </row>
    <row x14ac:dyDescent="0.25" r="128" customHeight="1" ht="12.75">
      <c r="A128" s="3"/>
      <c r="B128" s="22"/>
      <c r="C128" s="119"/>
      <c r="D128" s="118"/>
      <c r="E128" s="118"/>
      <c r="F128" s="119"/>
      <c r="G128" s="149"/>
      <c r="H128" s="22"/>
      <c r="I128" s="22"/>
    </row>
    <row x14ac:dyDescent="0.25" r="129" customHeight="1" ht="12.75">
      <c r="A129" s="3"/>
      <c r="B129" s="22"/>
      <c r="C129" s="119"/>
      <c r="D129" s="118"/>
      <c r="E129" s="118"/>
      <c r="F129" s="119"/>
      <c r="G129" s="149"/>
      <c r="H129" s="22"/>
      <c r="I129" s="22"/>
    </row>
    <row x14ac:dyDescent="0.25" r="130" customHeight="1" ht="12.75">
      <c r="A130" s="3"/>
      <c r="B130" s="22"/>
      <c r="C130" s="119"/>
      <c r="D130" s="118"/>
      <c r="E130" s="118"/>
      <c r="F130" s="119"/>
      <c r="G130" s="149"/>
      <c r="H130" s="22"/>
      <c r="I130" s="22"/>
    </row>
    <row x14ac:dyDescent="0.25" r="131" customHeight="1" ht="12.75">
      <c r="A131" s="3"/>
      <c r="B131" s="22"/>
      <c r="C131" s="119"/>
      <c r="D131" s="118"/>
      <c r="E131" s="118"/>
      <c r="F131" s="119"/>
      <c r="G131" s="149"/>
      <c r="H131" s="22"/>
      <c r="I131" s="22"/>
    </row>
    <row x14ac:dyDescent="0.25" r="132" customHeight="1" ht="12.75">
      <c r="A132" s="3"/>
      <c r="B132" s="22"/>
      <c r="C132" s="119"/>
      <c r="D132" s="118"/>
      <c r="E132" s="118"/>
      <c r="F132" s="119"/>
      <c r="G132" s="149"/>
      <c r="H132" s="22"/>
      <c r="I132" s="22"/>
    </row>
    <row x14ac:dyDescent="0.25" r="133" customHeight="1" ht="12.75">
      <c r="A133" s="3"/>
      <c r="B133" s="22"/>
      <c r="C133" s="119"/>
      <c r="D133" s="118"/>
      <c r="E133" s="118"/>
      <c r="F133" s="119"/>
      <c r="G133" s="149"/>
      <c r="H133" s="22"/>
      <c r="I133" s="22"/>
    </row>
    <row x14ac:dyDescent="0.25" r="134" customHeight="1" ht="12.75">
      <c r="A134" s="3"/>
      <c r="B134" s="22"/>
      <c r="C134" s="119"/>
      <c r="D134" s="118"/>
      <c r="E134" s="118"/>
      <c r="F134" s="119"/>
      <c r="G134" s="149"/>
      <c r="H134" s="22"/>
      <c r="I134" s="22"/>
    </row>
    <row x14ac:dyDescent="0.25" r="135" customHeight="1" ht="12.75">
      <c r="A135" s="3"/>
      <c r="B135" s="22"/>
      <c r="C135" s="119"/>
      <c r="D135" s="118"/>
      <c r="E135" s="118"/>
      <c r="F135" s="119"/>
      <c r="G135" s="149"/>
      <c r="H135" s="22"/>
      <c r="I135" s="22"/>
    </row>
    <row x14ac:dyDescent="0.25" r="136" customHeight="1" ht="12.75">
      <c r="A136" s="3"/>
      <c r="B136" s="22"/>
      <c r="C136" s="119"/>
      <c r="D136" s="118"/>
      <c r="E136" s="118"/>
      <c r="F136" s="119"/>
      <c r="G136" s="149"/>
      <c r="H136" s="22"/>
      <c r="I136" s="22"/>
    </row>
    <row x14ac:dyDescent="0.25" r="137" customHeight="1" ht="12.75">
      <c r="A137" s="3"/>
      <c r="B137" s="22"/>
      <c r="C137" s="119"/>
      <c r="D137" s="118"/>
      <c r="E137" s="118"/>
      <c r="F137" s="119"/>
      <c r="G137" s="149"/>
      <c r="H137" s="22"/>
      <c r="I137" s="22"/>
    </row>
    <row x14ac:dyDescent="0.25" r="138" customHeight="1" ht="12.75">
      <c r="A138" s="3"/>
      <c r="B138" s="22"/>
      <c r="C138" s="119"/>
      <c r="D138" s="118"/>
      <c r="E138" s="118"/>
      <c r="F138" s="119"/>
      <c r="G138" s="149"/>
      <c r="H138" s="22"/>
      <c r="I138" s="22"/>
    </row>
    <row x14ac:dyDescent="0.25" r="139" customHeight="1" ht="12.75">
      <c r="A139" s="3"/>
      <c r="B139" s="22"/>
      <c r="C139" s="119"/>
      <c r="D139" s="118"/>
      <c r="E139" s="118"/>
      <c r="F139" s="119"/>
      <c r="G139" s="149"/>
      <c r="H139" s="22"/>
      <c r="I139" s="22"/>
    </row>
    <row x14ac:dyDescent="0.25" r="140" customHeight="1" ht="12.75">
      <c r="A140" s="3"/>
      <c r="B140" s="22"/>
      <c r="C140" s="119"/>
      <c r="D140" s="118"/>
      <c r="E140" s="118"/>
      <c r="F140" s="119"/>
      <c r="G140" s="149"/>
      <c r="H140" s="22"/>
      <c r="I140" s="22"/>
    </row>
    <row x14ac:dyDescent="0.25" r="141" customHeight="1" ht="12.75">
      <c r="A141" s="3"/>
      <c r="B141" s="22"/>
      <c r="C141" s="119"/>
      <c r="D141" s="118"/>
      <c r="E141" s="118"/>
      <c r="F141" s="119"/>
      <c r="G141" s="149"/>
      <c r="H141" s="22"/>
      <c r="I141" s="22"/>
    </row>
    <row x14ac:dyDescent="0.25" r="142" customHeight="1" ht="12.75">
      <c r="A142" s="3"/>
      <c r="B142" s="22"/>
      <c r="C142" s="119"/>
      <c r="D142" s="118"/>
      <c r="E142" s="118"/>
      <c r="F142" s="119"/>
      <c r="G142" s="149"/>
      <c r="H142" s="22"/>
      <c r="I142" s="22"/>
    </row>
    <row x14ac:dyDescent="0.25" r="143" customHeight="1" ht="12.75">
      <c r="A143" s="3"/>
      <c r="B143" s="22"/>
      <c r="C143" s="119"/>
      <c r="D143" s="118"/>
      <c r="E143" s="118"/>
      <c r="F143" s="119"/>
      <c r="G143" s="149"/>
      <c r="H143" s="22"/>
      <c r="I143" s="22"/>
    </row>
    <row x14ac:dyDescent="0.25" r="144" customHeight="1" ht="12.75">
      <c r="A144" s="3"/>
      <c r="B144" s="22"/>
      <c r="C144" s="119"/>
      <c r="D144" s="118"/>
      <c r="E144" s="118"/>
      <c r="F144" s="119"/>
      <c r="G144" s="149"/>
      <c r="H144" s="22"/>
      <c r="I144" s="22"/>
    </row>
    <row x14ac:dyDescent="0.25" r="145" customHeight="1" ht="12.75">
      <c r="A145" s="3"/>
      <c r="B145" s="22"/>
      <c r="C145" s="119"/>
      <c r="D145" s="118"/>
      <c r="E145" s="118"/>
      <c r="F145" s="119"/>
      <c r="G145" s="149"/>
      <c r="H145" s="22"/>
      <c r="I145" s="22"/>
    </row>
    <row x14ac:dyDescent="0.25" r="146" customHeight="1" ht="12.75">
      <c r="A146" s="3"/>
      <c r="B146" s="22"/>
      <c r="C146" s="119"/>
      <c r="D146" s="118"/>
      <c r="E146" s="118"/>
      <c r="F146" s="119"/>
      <c r="G146" s="149"/>
      <c r="H146" s="22"/>
      <c r="I146" s="22"/>
    </row>
    <row x14ac:dyDescent="0.25" r="147" customHeight="1" ht="12.75">
      <c r="A147" s="3"/>
      <c r="B147" s="22"/>
      <c r="C147" s="119"/>
      <c r="D147" s="118"/>
      <c r="E147" s="118"/>
      <c r="F147" s="119"/>
      <c r="G147" s="149"/>
      <c r="H147" s="22"/>
      <c r="I147" s="22"/>
    </row>
    <row x14ac:dyDescent="0.25" r="148" customHeight="1" ht="12.75">
      <c r="A148" s="3"/>
      <c r="B148" s="22"/>
      <c r="C148" s="119"/>
      <c r="D148" s="118"/>
      <c r="E148" s="118"/>
      <c r="F148" s="119"/>
      <c r="G148" s="149"/>
      <c r="H148" s="22"/>
      <c r="I148" s="22"/>
    </row>
    <row x14ac:dyDescent="0.25" r="149" customHeight="1" ht="12.75">
      <c r="A149" s="3"/>
      <c r="B149" s="22"/>
      <c r="C149" s="119"/>
      <c r="D149" s="118"/>
      <c r="E149" s="118"/>
      <c r="F149" s="119"/>
      <c r="G149" s="149"/>
      <c r="H149" s="22"/>
      <c r="I149" s="22"/>
    </row>
    <row x14ac:dyDescent="0.25" r="150" customHeight="1" ht="12.75">
      <c r="A150" s="3"/>
      <c r="B150" s="22"/>
      <c r="C150" s="119"/>
      <c r="D150" s="118"/>
      <c r="E150" s="118"/>
      <c r="F150" s="119"/>
      <c r="G150" s="149"/>
      <c r="H150" s="22"/>
      <c r="I150" s="22"/>
    </row>
    <row x14ac:dyDescent="0.25" r="151" customHeight="1" ht="12.75">
      <c r="A151" s="3"/>
      <c r="B151" s="22"/>
      <c r="C151" s="119"/>
      <c r="D151" s="118"/>
      <c r="E151" s="118"/>
      <c r="F151" s="119"/>
      <c r="G151" s="149"/>
      <c r="H151" s="22"/>
      <c r="I151" s="22"/>
    </row>
    <row x14ac:dyDescent="0.25" r="152" customHeight="1" ht="12.75">
      <c r="A152" s="3"/>
      <c r="B152" s="22"/>
      <c r="C152" s="119"/>
      <c r="D152" s="118"/>
      <c r="E152" s="118"/>
      <c r="F152" s="119"/>
      <c r="G152" s="149"/>
      <c r="H152" s="22"/>
      <c r="I152" s="22"/>
    </row>
    <row x14ac:dyDescent="0.25" r="153" customHeight="1" ht="12.75">
      <c r="A153" s="3"/>
      <c r="B153" s="22"/>
      <c r="C153" s="119"/>
      <c r="D153" s="118"/>
      <c r="E153" s="118"/>
      <c r="F153" s="119"/>
      <c r="G153" s="149"/>
      <c r="H153" s="22"/>
      <c r="I153" s="22"/>
    </row>
    <row x14ac:dyDescent="0.25" r="154" customHeight="1" ht="12.75">
      <c r="A154" s="3"/>
      <c r="B154" s="22"/>
      <c r="C154" s="119"/>
      <c r="D154" s="118"/>
      <c r="E154" s="118"/>
      <c r="F154" s="119"/>
      <c r="G154" s="149"/>
      <c r="H154" s="22"/>
      <c r="I154" s="22"/>
    </row>
    <row x14ac:dyDescent="0.25" r="155" customHeight="1" ht="12.75">
      <c r="A155" s="3"/>
      <c r="B155" s="22"/>
      <c r="C155" s="119"/>
      <c r="D155" s="118"/>
      <c r="E155" s="118"/>
      <c r="F155" s="119"/>
      <c r="G155" s="149"/>
      <c r="H155" s="22"/>
      <c r="I155" s="22"/>
    </row>
    <row x14ac:dyDescent="0.25" r="156" customHeight="1" ht="12.75">
      <c r="A156" s="3"/>
      <c r="B156" s="22"/>
      <c r="C156" s="119"/>
      <c r="D156" s="118"/>
      <c r="E156" s="118"/>
      <c r="F156" s="119"/>
      <c r="G156" s="149"/>
      <c r="H156" s="22"/>
      <c r="I156" s="22"/>
    </row>
    <row x14ac:dyDescent="0.25" r="157" customHeight="1" ht="12.75">
      <c r="A157" s="3"/>
      <c r="B157" s="22"/>
      <c r="C157" s="119"/>
      <c r="D157" s="118"/>
      <c r="E157" s="118"/>
      <c r="F157" s="119"/>
      <c r="G157" s="149"/>
      <c r="H157" s="22"/>
      <c r="I157" s="22"/>
    </row>
    <row x14ac:dyDescent="0.25" r="158" customHeight="1" ht="12.75">
      <c r="A158" s="3"/>
      <c r="B158" s="22"/>
      <c r="C158" s="119"/>
      <c r="D158" s="118"/>
      <c r="E158" s="118"/>
      <c r="F158" s="119"/>
      <c r="G158" s="149"/>
      <c r="H158" s="22"/>
      <c r="I158" s="22"/>
    </row>
    <row x14ac:dyDescent="0.25" r="159" customHeight="1" ht="12.75">
      <c r="A159" s="3"/>
      <c r="B159" s="22"/>
      <c r="C159" s="119"/>
      <c r="D159" s="118"/>
      <c r="E159" s="118"/>
      <c r="F159" s="119"/>
      <c r="G159" s="149"/>
      <c r="H159" s="22"/>
      <c r="I159" s="22"/>
    </row>
    <row x14ac:dyDescent="0.25" r="160" customHeight="1" ht="12.75">
      <c r="A160" s="3"/>
      <c r="B160" s="22"/>
      <c r="C160" s="119"/>
      <c r="D160" s="118"/>
      <c r="E160" s="118"/>
      <c r="F160" s="119"/>
      <c r="G160" s="149"/>
      <c r="H160" s="22"/>
      <c r="I160" s="22"/>
    </row>
    <row x14ac:dyDescent="0.25" r="161" customHeight="1" ht="12.75">
      <c r="A161" s="3"/>
      <c r="B161" s="22"/>
      <c r="C161" s="119"/>
      <c r="D161" s="118"/>
      <c r="E161" s="118"/>
      <c r="F161" s="119"/>
      <c r="G161" s="149"/>
      <c r="H161" s="22"/>
      <c r="I161" s="22"/>
    </row>
    <row x14ac:dyDescent="0.25" r="162" customHeight="1" ht="12.75">
      <c r="A162" s="3"/>
      <c r="B162" s="22"/>
      <c r="C162" s="119"/>
      <c r="D162" s="118"/>
      <c r="E162" s="118"/>
      <c r="F162" s="119"/>
      <c r="G162" s="149"/>
      <c r="H162" s="22"/>
      <c r="I162" s="22"/>
    </row>
    <row x14ac:dyDescent="0.25" r="163" customHeight="1" ht="12.75">
      <c r="A163" s="3"/>
      <c r="B163" s="22"/>
      <c r="C163" s="119"/>
      <c r="D163" s="118"/>
      <c r="E163" s="118"/>
      <c r="F163" s="119"/>
      <c r="G163" s="149"/>
      <c r="H163" s="22"/>
      <c r="I163" s="22"/>
    </row>
    <row x14ac:dyDescent="0.25" r="164" customHeight="1" ht="12.75">
      <c r="A164" s="3"/>
      <c r="B164" s="22"/>
      <c r="C164" s="119"/>
      <c r="D164" s="118"/>
      <c r="E164" s="118"/>
      <c r="F164" s="119"/>
      <c r="G164" s="149"/>
      <c r="H164" s="22"/>
      <c r="I164" s="22"/>
    </row>
    <row x14ac:dyDescent="0.25" r="165" customHeight="1" ht="12.75">
      <c r="A165" s="3"/>
      <c r="B165" s="22"/>
      <c r="C165" s="119"/>
      <c r="D165" s="118"/>
      <c r="E165" s="118"/>
      <c r="F165" s="119"/>
      <c r="G165" s="149"/>
      <c r="H165" s="22"/>
      <c r="I165" s="22"/>
    </row>
    <row x14ac:dyDescent="0.25" r="166" customHeight="1" ht="12.75">
      <c r="A166" s="3"/>
      <c r="B166" s="22"/>
      <c r="C166" s="119"/>
      <c r="D166" s="118"/>
      <c r="E166" s="118"/>
      <c r="F166" s="119"/>
      <c r="G166" s="149"/>
      <c r="H166" s="22"/>
      <c r="I166" s="22"/>
    </row>
    <row x14ac:dyDescent="0.25" r="167" customHeight="1" ht="12.75">
      <c r="A167" s="3"/>
      <c r="B167" s="22"/>
      <c r="C167" s="119"/>
      <c r="D167" s="118"/>
      <c r="E167" s="118"/>
      <c r="F167" s="119"/>
      <c r="G167" s="149"/>
      <c r="H167" s="22"/>
      <c r="I167" s="22"/>
    </row>
    <row x14ac:dyDescent="0.25" r="168" customHeight="1" ht="12.75">
      <c r="A168" s="3"/>
      <c r="B168" s="22"/>
      <c r="C168" s="119"/>
      <c r="D168" s="118"/>
      <c r="E168" s="118"/>
      <c r="F168" s="119"/>
      <c r="G168" s="149"/>
      <c r="H168" s="22"/>
      <c r="I168" s="22"/>
    </row>
    <row x14ac:dyDescent="0.25" r="169" customHeight="1" ht="12.75">
      <c r="A169" s="3"/>
      <c r="B169" s="22"/>
      <c r="C169" s="119"/>
      <c r="D169" s="118"/>
      <c r="E169" s="118"/>
      <c r="F169" s="119"/>
      <c r="G169" s="149"/>
      <c r="H169" s="22"/>
      <c r="I169" s="22"/>
    </row>
    <row x14ac:dyDescent="0.25" r="170" customHeight="1" ht="12.75">
      <c r="A170" s="3"/>
      <c r="B170" s="22"/>
      <c r="C170" s="119"/>
      <c r="D170" s="118"/>
      <c r="E170" s="118"/>
      <c r="F170" s="119"/>
      <c r="G170" s="149"/>
      <c r="H170" s="22"/>
      <c r="I170" s="22"/>
    </row>
    <row x14ac:dyDescent="0.25" r="171" customHeight="1" ht="12.75">
      <c r="A171" s="3"/>
      <c r="B171" s="22"/>
      <c r="C171" s="119"/>
      <c r="D171" s="118"/>
      <c r="E171" s="118"/>
      <c r="F171" s="119"/>
      <c r="G171" s="149"/>
      <c r="H171" s="22"/>
      <c r="I171" s="22"/>
    </row>
    <row x14ac:dyDescent="0.25" r="172" customHeight="1" ht="12.75">
      <c r="A172" s="3"/>
      <c r="B172" s="22"/>
      <c r="C172" s="119"/>
      <c r="D172" s="118"/>
      <c r="E172" s="118"/>
      <c r="F172" s="119"/>
      <c r="G172" s="149"/>
      <c r="H172" s="22"/>
      <c r="I172" s="22"/>
    </row>
    <row x14ac:dyDescent="0.25" r="173" customHeight="1" ht="12.75">
      <c r="A173" s="3"/>
      <c r="B173" s="22"/>
      <c r="C173" s="119"/>
      <c r="D173" s="118"/>
      <c r="E173" s="118"/>
      <c r="F173" s="119"/>
      <c r="G173" s="149"/>
      <c r="H173" s="22"/>
      <c r="I173" s="22"/>
    </row>
    <row x14ac:dyDescent="0.25" r="174" customHeight="1" ht="12.75">
      <c r="A174" s="3"/>
      <c r="B174" s="22"/>
      <c r="C174" s="119"/>
      <c r="D174" s="118"/>
      <c r="E174" s="118"/>
      <c r="F174" s="119"/>
      <c r="G174" s="149"/>
      <c r="H174" s="22"/>
      <c r="I174" s="22"/>
    </row>
    <row x14ac:dyDescent="0.25" r="175" customHeight="1" ht="12.75">
      <c r="A175" s="3"/>
      <c r="B175" s="22"/>
      <c r="C175" s="119"/>
      <c r="D175" s="118"/>
      <c r="E175" s="118"/>
      <c r="F175" s="119"/>
      <c r="G175" s="149"/>
      <c r="H175" s="22"/>
      <c r="I175" s="22"/>
    </row>
    <row x14ac:dyDescent="0.25" r="176" customHeight="1" ht="12.75">
      <c r="A176" s="3"/>
      <c r="B176" s="22"/>
      <c r="C176" s="119"/>
      <c r="D176" s="118"/>
      <c r="E176" s="118"/>
      <c r="F176" s="119"/>
      <c r="G176" s="149"/>
      <c r="H176" s="22"/>
      <c r="I176" s="22"/>
    </row>
    <row x14ac:dyDescent="0.25" r="177" customHeight="1" ht="12.75">
      <c r="A177" s="3"/>
      <c r="B177" s="22"/>
      <c r="C177" s="119"/>
      <c r="D177" s="118"/>
      <c r="E177" s="118"/>
      <c r="F177" s="119"/>
      <c r="G177" s="149"/>
      <c r="H177" s="22"/>
      <c r="I177" s="22"/>
    </row>
    <row x14ac:dyDescent="0.25" r="178" customHeight="1" ht="12.75">
      <c r="A178" s="3"/>
      <c r="B178" s="22"/>
      <c r="C178" s="119"/>
      <c r="D178" s="118"/>
      <c r="E178" s="118"/>
      <c r="F178" s="119"/>
      <c r="G178" s="149"/>
      <c r="H178" s="22"/>
      <c r="I178" s="22"/>
    </row>
    <row x14ac:dyDescent="0.25" r="179" customHeight="1" ht="12.75">
      <c r="A179" s="3"/>
      <c r="B179" s="22"/>
      <c r="C179" s="119"/>
      <c r="D179" s="118"/>
      <c r="E179" s="118"/>
      <c r="F179" s="119"/>
      <c r="G179" s="149"/>
      <c r="H179" s="22"/>
      <c r="I179" s="22"/>
    </row>
    <row x14ac:dyDescent="0.25" r="180" customHeight="1" ht="12.75">
      <c r="A180" s="3"/>
      <c r="B180" s="22"/>
      <c r="C180" s="119"/>
      <c r="D180" s="118"/>
      <c r="E180" s="118"/>
      <c r="F180" s="119"/>
      <c r="G180" s="149"/>
      <c r="H180" s="22"/>
      <c r="I180" s="22"/>
    </row>
    <row x14ac:dyDescent="0.25" r="181" customHeight="1" ht="12.75">
      <c r="A181" s="3"/>
      <c r="B181" s="22"/>
      <c r="C181" s="119"/>
      <c r="D181" s="118"/>
      <c r="E181" s="118"/>
      <c r="F181" s="119"/>
      <c r="G181" s="149"/>
      <c r="H181" s="22"/>
      <c r="I181" s="22"/>
    </row>
    <row x14ac:dyDescent="0.25" r="182" customHeight="1" ht="12.75">
      <c r="A182" s="3"/>
      <c r="B182" s="22"/>
      <c r="C182" s="119"/>
      <c r="D182" s="118"/>
      <c r="E182" s="118"/>
      <c r="F182" s="119"/>
      <c r="G182" s="149"/>
      <c r="H182" s="22"/>
      <c r="I182" s="22"/>
    </row>
    <row x14ac:dyDescent="0.25" r="183" customHeight="1" ht="12.75">
      <c r="A183" s="3"/>
      <c r="B183" s="22"/>
      <c r="C183" s="119"/>
      <c r="D183" s="118"/>
      <c r="E183" s="118"/>
      <c r="F183" s="119"/>
      <c r="G183" s="149"/>
      <c r="H183" s="22"/>
      <c r="I183" s="22"/>
    </row>
    <row x14ac:dyDescent="0.25" r="184" customHeight="1" ht="12.75">
      <c r="A184" s="3"/>
      <c r="B184" s="22"/>
      <c r="C184" s="119"/>
      <c r="D184" s="118"/>
      <c r="E184" s="118"/>
      <c r="F184" s="119"/>
      <c r="G184" s="149"/>
      <c r="H184" s="22"/>
      <c r="I184" s="22"/>
    </row>
    <row x14ac:dyDescent="0.25" r="185" customHeight="1" ht="12.75">
      <c r="A185" s="3"/>
      <c r="B185" s="22"/>
      <c r="C185" s="119"/>
      <c r="D185" s="118"/>
      <c r="E185" s="118"/>
      <c r="F185" s="119"/>
      <c r="G185" s="149"/>
      <c r="H185" s="22"/>
      <c r="I185" s="22"/>
    </row>
    <row x14ac:dyDescent="0.25" r="186" customHeight="1" ht="12.75">
      <c r="A186" s="3"/>
      <c r="B186" s="22"/>
      <c r="C186" s="119"/>
      <c r="D186" s="118"/>
      <c r="E186" s="118"/>
      <c r="F186" s="119"/>
      <c r="G186" s="149"/>
      <c r="H186" s="22"/>
      <c r="I186" s="22"/>
    </row>
    <row x14ac:dyDescent="0.25" r="187" customHeight="1" ht="12.75">
      <c r="A187" s="3"/>
      <c r="B187" s="22"/>
      <c r="C187" s="119"/>
      <c r="D187" s="118"/>
      <c r="E187" s="118"/>
      <c r="F187" s="119"/>
      <c r="G187" s="149"/>
      <c r="H187" s="22"/>
      <c r="I187" s="22"/>
    </row>
    <row x14ac:dyDescent="0.25" r="188" customHeight="1" ht="12.75">
      <c r="A188" s="3"/>
      <c r="B188" s="22"/>
      <c r="C188" s="119"/>
      <c r="D188" s="118"/>
      <c r="E188" s="118"/>
      <c r="F188" s="119"/>
      <c r="G188" s="149"/>
      <c r="H188" s="22"/>
      <c r="I188" s="22"/>
    </row>
    <row x14ac:dyDescent="0.25" r="189" customHeight="1" ht="12.75">
      <c r="A189" s="3"/>
      <c r="B189" s="22"/>
      <c r="C189" s="119"/>
      <c r="D189" s="118"/>
      <c r="E189" s="118"/>
      <c r="F189" s="119"/>
      <c r="G189" s="149"/>
      <c r="H189" s="22"/>
      <c r="I189" s="22"/>
    </row>
    <row x14ac:dyDescent="0.25" r="190" customHeight="1" ht="12.75">
      <c r="A190" s="3"/>
      <c r="B190" s="22"/>
      <c r="C190" s="119"/>
      <c r="D190" s="118"/>
      <c r="E190" s="118"/>
      <c r="F190" s="119"/>
      <c r="G190" s="149"/>
      <c r="H190" s="22"/>
      <c r="I190" s="22"/>
    </row>
    <row x14ac:dyDescent="0.25" r="191" customHeight="1" ht="12.75">
      <c r="A191" s="3"/>
      <c r="B191" s="22"/>
      <c r="C191" s="119"/>
      <c r="D191" s="118"/>
      <c r="E191" s="118"/>
      <c r="F191" s="119"/>
      <c r="G191" s="149"/>
      <c r="H191" s="22"/>
      <c r="I191" s="22"/>
    </row>
    <row x14ac:dyDescent="0.25" r="192" customHeight="1" ht="12.75">
      <c r="A192" s="3"/>
      <c r="B192" s="22"/>
      <c r="C192" s="119"/>
      <c r="D192" s="118"/>
      <c r="E192" s="118"/>
      <c r="F192" s="119"/>
      <c r="G192" s="149"/>
      <c r="H192" s="22"/>
      <c r="I192" s="22"/>
    </row>
    <row x14ac:dyDescent="0.25" r="193" customHeight="1" ht="12.75">
      <c r="A193" s="3"/>
      <c r="B193" s="22"/>
      <c r="C193" s="119"/>
      <c r="D193" s="118"/>
      <c r="E193" s="118"/>
      <c r="F193" s="119"/>
      <c r="G193" s="149"/>
      <c r="H193" s="22"/>
      <c r="I193" s="22"/>
    </row>
    <row x14ac:dyDescent="0.25" r="194" customHeight="1" ht="12.75">
      <c r="A194" s="3"/>
      <c r="B194" s="22"/>
      <c r="C194" s="119"/>
      <c r="D194" s="118"/>
      <c r="E194" s="118"/>
      <c r="F194" s="119"/>
      <c r="G194" s="149"/>
      <c r="H194" s="22"/>
      <c r="I194" s="22"/>
    </row>
    <row x14ac:dyDescent="0.25" r="195" customHeight="1" ht="12.75">
      <c r="A195" s="3"/>
      <c r="B195" s="22"/>
      <c r="C195" s="119"/>
      <c r="D195" s="118"/>
      <c r="E195" s="118"/>
      <c r="F195" s="119"/>
      <c r="G195" s="149"/>
      <c r="H195" s="22"/>
      <c r="I195" s="22"/>
    </row>
    <row x14ac:dyDescent="0.25" r="196" customHeight="1" ht="12.75">
      <c r="A196" s="3"/>
      <c r="B196" s="22"/>
      <c r="C196" s="119"/>
      <c r="D196" s="118"/>
      <c r="E196" s="118"/>
      <c r="F196" s="119"/>
      <c r="G196" s="149"/>
      <c r="H196" s="22"/>
      <c r="I196" s="22"/>
    </row>
    <row x14ac:dyDescent="0.25" r="197" customHeight="1" ht="12.75">
      <c r="A197" s="3"/>
      <c r="B197" s="22"/>
      <c r="C197" s="119"/>
      <c r="D197" s="118"/>
      <c r="E197" s="118"/>
      <c r="F197" s="119"/>
      <c r="G197" s="149"/>
      <c r="H197" s="22"/>
      <c r="I197" s="22"/>
    </row>
    <row x14ac:dyDescent="0.25" r="198" customHeight="1" ht="12.75">
      <c r="A198" s="3"/>
      <c r="B198" s="22"/>
      <c r="C198" s="119"/>
      <c r="D198" s="118"/>
      <c r="E198" s="118"/>
      <c r="F198" s="119"/>
      <c r="G198" s="149"/>
      <c r="H198" s="22"/>
      <c r="I198" s="22"/>
    </row>
    <row x14ac:dyDescent="0.25" r="199" customHeight="1" ht="12.75">
      <c r="A199" s="3"/>
      <c r="B199" s="22"/>
      <c r="C199" s="119"/>
      <c r="D199" s="118"/>
      <c r="E199" s="118"/>
      <c r="F199" s="119"/>
      <c r="G199" s="149"/>
      <c r="H199" s="22"/>
      <c r="I199" s="22"/>
    </row>
    <row x14ac:dyDescent="0.25" r="200" customHeight="1" ht="12.75">
      <c r="A200" s="3"/>
      <c r="B200" s="22"/>
      <c r="C200" s="119"/>
      <c r="D200" s="118"/>
      <c r="E200" s="118"/>
      <c r="F200" s="119"/>
      <c r="G200" s="149"/>
      <c r="H200" s="22"/>
      <c r="I200" s="22"/>
    </row>
    <row x14ac:dyDescent="0.25" r="201" customHeight="1" ht="12.75">
      <c r="A201" s="3"/>
      <c r="B201" s="22"/>
      <c r="C201" s="119"/>
      <c r="D201" s="118"/>
      <c r="E201" s="118"/>
      <c r="F201" s="119"/>
      <c r="G201" s="149"/>
      <c r="H201" s="22"/>
      <c r="I201" s="22"/>
    </row>
    <row x14ac:dyDescent="0.25" r="202" customHeight="1" ht="12.75">
      <c r="A202" s="3"/>
      <c r="B202" s="22"/>
      <c r="C202" s="119"/>
      <c r="D202" s="118"/>
      <c r="E202" s="118"/>
      <c r="F202" s="119"/>
      <c r="G202" s="149"/>
      <c r="H202" s="22"/>
      <c r="I202" s="22"/>
    </row>
    <row x14ac:dyDescent="0.25" r="203" customHeight="1" ht="12.75">
      <c r="A203" s="3"/>
      <c r="B203" s="22"/>
      <c r="C203" s="119"/>
      <c r="D203" s="118"/>
      <c r="E203" s="118"/>
      <c r="F203" s="119"/>
      <c r="G203" s="149"/>
      <c r="H203" s="22"/>
      <c r="I203" s="22"/>
    </row>
    <row x14ac:dyDescent="0.25" r="204" customHeight="1" ht="12.75">
      <c r="A204" s="3"/>
      <c r="B204" s="22"/>
      <c r="C204" s="119"/>
      <c r="D204" s="118"/>
      <c r="E204" s="118"/>
      <c r="F204" s="119"/>
      <c r="G204" s="149"/>
      <c r="H204" s="22"/>
      <c r="I204" s="22"/>
    </row>
    <row x14ac:dyDescent="0.25" r="205" customHeight="1" ht="12.75">
      <c r="A205" s="3"/>
      <c r="B205" s="22"/>
      <c r="C205" s="119"/>
      <c r="D205" s="118"/>
      <c r="E205" s="118"/>
      <c r="F205" s="119"/>
      <c r="G205" s="149"/>
      <c r="H205" s="22"/>
      <c r="I205" s="22"/>
    </row>
    <row x14ac:dyDescent="0.25" r="206" customHeight="1" ht="12.75">
      <c r="A206" s="3"/>
      <c r="B206" s="22"/>
      <c r="C206" s="119"/>
      <c r="D206" s="118"/>
      <c r="E206" s="118"/>
      <c r="F206" s="119"/>
      <c r="G206" s="149"/>
      <c r="H206" s="22"/>
      <c r="I206" s="22"/>
    </row>
    <row x14ac:dyDescent="0.25" r="207" customHeight="1" ht="12.75">
      <c r="A207" s="3"/>
      <c r="B207" s="22"/>
      <c r="C207" s="119"/>
      <c r="D207" s="118"/>
      <c r="E207" s="118"/>
      <c r="F207" s="119"/>
      <c r="G207" s="149"/>
      <c r="H207" s="22"/>
      <c r="I207" s="22"/>
    </row>
    <row x14ac:dyDescent="0.25" r="208" customHeight="1" ht="12.75">
      <c r="A208" s="3"/>
      <c r="B208" s="22"/>
      <c r="C208" s="119"/>
      <c r="D208" s="118"/>
      <c r="E208" s="118"/>
      <c r="F208" s="119"/>
      <c r="G208" s="149"/>
      <c r="H208" s="22"/>
      <c r="I208" s="22"/>
    </row>
    <row x14ac:dyDescent="0.25" r="209" customHeight="1" ht="12.75">
      <c r="A209" s="3"/>
      <c r="B209" s="22"/>
      <c r="C209" s="119"/>
      <c r="D209" s="118"/>
      <c r="E209" s="118"/>
      <c r="F209" s="119"/>
      <c r="G209" s="149"/>
      <c r="H209" s="22"/>
      <c r="I209" s="22"/>
    </row>
    <row x14ac:dyDescent="0.25" r="210" customHeight="1" ht="12.75">
      <c r="A210" s="3"/>
      <c r="B210" s="22"/>
      <c r="C210" s="119"/>
      <c r="D210" s="118"/>
      <c r="E210" s="118"/>
      <c r="F210" s="119"/>
      <c r="G210" s="149"/>
      <c r="H210" s="22"/>
      <c r="I210" s="22"/>
    </row>
    <row x14ac:dyDescent="0.25" r="211" customHeight="1" ht="12.75">
      <c r="A211" s="3"/>
      <c r="B211" s="22"/>
      <c r="C211" s="119"/>
      <c r="D211" s="118"/>
      <c r="E211" s="118"/>
      <c r="F211" s="119"/>
      <c r="G211" s="149"/>
      <c r="H211" s="22"/>
      <c r="I211" s="22"/>
    </row>
    <row x14ac:dyDescent="0.25" r="212" customHeight="1" ht="12.75">
      <c r="A212" s="3"/>
      <c r="B212" s="22"/>
      <c r="C212" s="119"/>
      <c r="D212" s="118"/>
      <c r="E212" s="118"/>
      <c r="F212" s="119"/>
      <c r="G212" s="149"/>
      <c r="H212" s="22"/>
      <c r="I212" s="22"/>
    </row>
    <row x14ac:dyDescent="0.25" r="213" customHeight="1" ht="12.75">
      <c r="A213" s="3"/>
      <c r="B213" s="22"/>
      <c r="C213" s="119"/>
      <c r="D213" s="118"/>
      <c r="E213" s="118"/>
      <c r="F213" s="119"/>
      <c r="G213" s="149"/>
      <c r="H213" s="22"/>
      <c r="I213" s="22"/>
    </row>
    <row x14ac:dyDescent="0.25" r="214" customHeight="1" ht="12.75">
      <c r="A214" s="3"/>
      <c r="B214" s="22"/>
      <c r="C214" s="119"/>
      <c r="D214" s="118"/>
      <c r="E214" s="118"/>
      <c r="F214" s="119"/>
      <c r="G214" s="149"/>
      <c r="H214" s="22"/>
      <c r="I214" s="22"/>
    </row>
    <row x14ac:dyDescent="0.25" r="215" customHeight="1" ht="12.75">
      <c r="A215" s="3"/>
      <c r="B215" s="22"/>
      <c r="C215" s="119"/>
      <c r="D215" s="118"/>
      <c r="E215" s="118"/>
      <c r="F215" s="119"/>
      <c r="G215" s="149"/>
      <c r="H215" s="22"/>
      <c r="I215" s="22"/>
    </row>
    <row x14ac:dyDescent="0.25" r="216" customHeight="1" ht="12.75">
      <c r="A216" s="3"/>
      <c r="B216" s="22"/>
      <c r="C216" s="119"/>
      <c r="D216" s="118"/>
      <c r="E216" s="118"/>
      <c r="F216" s="119"/>
      <c r="G216" s="149"/>
      <c r="H216" s="22"/>
      <c r="I216" s="22"/>
    </row>
    <row x14ac:dyDescent="0.25" r="217" customHeight="1" ht="12.75">
      <c r="A217" s="3"/>
      <c r="B217" s="22"/>
      <c r="C217" s="119"/>
      <c r="D217" s="118"/>
      <c r="E217" s="118"/>
      <c r="F217" s="119"/>
      <c r="G217" s="149"/>
      <c r="H217" s="22"/>
      <c r="I217" s="22"/>
    </row>
    <row x14ac:dyDescent="0.25" r="218" customHeight="1" ht="12.75">
      <c r="A218" s="3"/>
      <c r="B218" s="22"/>
      <c r="C218" s="119"/>
      <c r="D218" s="118"/>
      <c r="E218" s="118"/>
      <c r="F218" s="119"/>
      <c r="G218" s="149"/>
      <c r="H218" s="22"/>
      <c r="I218" s="22"/>
    </row>
    <row x14ac:dyDescent="0.25" r="219" customHeight="1" ht="12.75">
      <c r="A219" s="3"/>
      <c r="B219" s="22"/>
      <c r="C219" s="119"/>
      <c r="D219" s="118"/>
      <c r="E219" s="118"/>
      <c r="F219" s="119"/>
      <c r="G219" s="149"/>
      <c r="H219" s="22"/>
      <c r="I219" s="22"/>
    </row>
    <row x14ac:dyDescent="0.25" r="220" customHeight="1" ht="12.75">
      <c r="A220" s="3"/>
      <c r="B220" s="22"/>
      <c r="C220" s="119"/>
      <c r="D220" s="118"/>
      <c r="E220" s="118"/>
      <c r="F220" s="119"/>
      <c r="G220" s="149"/>
      <c r="H220" s="22"/>
      <c r="I220" s="22"/>
    </row>
    <row x14ac:dyDescent="0.25" r="221" customHeight="1" ht="12.75">
      <c r="A221" s="3"/>
      <c r="B221" s="22"/>
      <c r="C221" s="119"/>
      <c r="D221" s="118"/>
      <c r="E221" s="118"/>
      <c r="F221" s="119"/>
      <c r="G221" s="149"/>
      <c r="H221" s="22"/>
      <c r="I221" s="22"/>
    </row>
    <row x14ac:dyDescent="0.25" r="222" customHeight="1" ht="12.75">
      <c r="A222" s="3"/>
      <c r="B222" s="22"/>
      <c r="C222" s="119"/>
      <c r="D222" s="118"/>
      <c r="E222" s="118"/>
      <c r="F222" s="119"/>
      <c r="G222" s="149"/>
      <c r="H222" s="22"/>
      <c r="I222" s="22"/>
    </row>
    <row x14ac:dyDescent="0.25" r="223" customHeight="1" ht="12.75">
      <c r="A223" s="3"/>
      <c r="B223" s="22"/>
      <c r="C223" s="119"/>
      <c r="D223" s="118"/>
      <c r="E223" s="118"/>
      <c r="F223" s="119"/>
      <c r="G223" s="149"/>
      <c r="H223" s="22"/>
      <c r="I223" s="22"/>
    </row>
    <row x14ac:dyDescent="0.25" r="224" customHeight="1" ht="12.75">
      <c r="A224" s="3"/>
      <c r="B224" s="22"/>
      <c r="C224" s="119"/>
      <c r="D224" s="118"/>
      <c r="E224" s="118"/>
      <c r="F224" s="119"/>
      <c r="G224" s="149"/>
      <c r="H224" s="22"/>
      <c r="I224" s="22"/>
    </row>
    <row x14ac:dyDescent="0.25" r="225" customHeight="1" ht="12.75">
      <c r="A225" s="3"/>
      <c r="B225" s="22"/>
      <c r="C225" s="119"/>
      <c r="D225" s="118"/>
      <c r="E225" s="118"/>
      <c r="F225" s="119"/>
      <c r="G225" s="149"/>
      <c r="H225" s="22"/>
      <c r="I225" s="22"/>
    </row>
    <row x14ac:dyDescent="0.25" r="226" customHeight="1" ht="12.75">
      <c r="A226" s="3"/>
      <c r="B226" s="22"/>
      <c r="C226" s="119"/>
      <c r="D226" s="118"/>
      <c r="E226" s="118"/>
      <c r="F226" s="119"/>
      <c r="G226" s="149"/>
      <c r="H226" s="22"/>
      <c r="I226" s="22"/>
    </row>
    <row x14ac:dyDescent="0.25" r="227" customHeight="1" ht="12.75">
      <c r="A227" s="3"/>
      <c r="B227" s="22"/>
      <c r="C227" s="119"/>
      <c r="D227" s="118"/>
      <c r="E227" s="118"/>
      <c r="F227" s="119"/>
      <c r="G227" s="149"/>
      <c r="H227" s="22"/>
      <c r="I227" s="22"/>
    </row>
    <row x14ac:dyDescent="0.25" r="228" customHeight="1" ht="12.75">
      <c r="A228" s="3"/>
      <c r="B228" s="22"/>
      <c r="C228" s="119"/>
      <c r="D228" s="118"/>
      <c r="E228" s="118"/>
      <c r="F228" s="119"/>
      <c r="G228" s="149"/>
      <c r="H228" s="22"/>
      <c r="I228" s="22"/>
    </row>
    <row x14ac:dyDescent="0.25" r="229" customHeight="1" ht="12.75">
      <c r="A229" s="3"/>
      <c r="B229" s="22"/>
      <c r="C229" s="119"/>
      <c r="D229" s="118"/>
      <c r="E229" s="118"/>
      <c r="F229" s="119"/>
      <c r="G229" s="149"/>
      <c r="H229" s="22"/>
      <c r="I229" s="22"/>
    </row>
    <row x14ac:dyDescent="0.25" r="230" customHeight="1" ht="12.75">
      <c r="A230" s="3"/>
      <c r="B230" s="22"/>
      <c r="C230" s="119"/>
      <c r="D230" s="118"/>
      <c r="E230" s="118"/>
      <c r="F230" s="119"/>
      <c r="G230" s="149"/>
      <c r="H230" s="22"/>
      <c r="I230" s="22"/>
    </row>
    <row x14ac:dyDescent="0.25" r="231" customHeight="1" ht="12.75">
      <c r="A231" s="3"/>
      <c r="B231" s="22"/>
      <c r="C231" s="119"/>
      <c r="D231" s="118"/>
      <c r="E231" s="118"/>
      <c r="F231" s="119"/>
      <c r="G231" s="149"/>
      <c r="H231" s="22"/>
      <c r="I231" s="22"/>
    </row>
    <row x14ac:dyDescent="0.25" r="232" customHeight="1" ht="12.75">
      <c r="A232" s="3"/>
      <c r="B232" s="22"/>
      <c r="C232" s="119"/>
      <c r="D232" s="118"/>
      <c r="E232" s="118"/>
      <c r="F232" s="119"/>
      <c r="G232" s="149"/>
      <c r="H232" s="22"/>
      <c r="I232" s="22"/>
    </row>
    <row x14ac:dyDescent="0.25" r="233" customHeight="1" ht="12.75">
      <c r="A233" s="3"/>
      <c r="B233" s="22"/>
      <c r="C233" s="119"/>
      <c r="D233" s="118"/>
      <c r="E233" s="118"/>
      <c r="F233" s="119"/>
      <c r="G233" s="149"/>
      <c r="H233" s="22"/>
      <c r="I233" s="22"/>
    </row>
    <row x14ac:dyDescent="0.25" r="234" customHeight="1" ht="12.75">
      <c r="A234" s="3"/>
      <c r="B234" s="22"/>
      <c r="C234" s="119"/>
      <c r="D234" s="118"/>
      <c r="E234" s="118"/>
      <c r="F234" s="119"/>
      <c r="G234" s="149"/>
      <c r="H234" s="22"/>
      <c r="I234" s="22"/>
    </row>
    <row x14ac:dyDescent="0.25" r="235" customHeight="1" ht="12.75">
      <c r="A235" s="3"/>
      <c r="B235" s="22"/>
      <c r="C235" s="119"/>
      <c r="D235" s="118"/>
      <c r="E235" s="118"/>
      <c r="F235" s="119"/>
      <c r="G235" s="149"/>
      <c r="H235" s="22"/>
      <c r="I235" s="22"/>
    </row>
    <row x14ac:dyDescent="0.25" r="236" customHeight="1" ht="12.75">
      <c r="A236" s="3"/>
      <c r="B236" s="22"/>
      <c r="C236" s="119"/>
      <c r="D236" s="118"/>
      <c r="E236" s="118"/>
      <c r="F236" s="119"/>
      <c r="G236" s="149"/>
      <c r="H236" s="22"/>
      <c r="I236" s="22"/>
    </row>
    <row x14ac:dyDescent="0.25" r="237" customHeight="1" ht="12.75">
      <c r="A237" s="3"/>
      <c r="B237" s="22"/>
      <c r="C237" s="119"/>
      <c r="D237" s="118"/>
      <c r="E237" s="118"/>
      <c r="F237" s="119"/>
      <c r="G237" s="149"/>
      <c r="H237" s="22"/>
      <c r="I237" s="22"/>
    </row>
    <row x14ac:dyDescent="0.25" r="238" customHeight="1" ht="12.75">
      <c r="A238" s="3"/>
      <c r="B238" s="22"/>
      <c r="C238" s="119"/>
      <c r="D238" s="118"/>
      <c r="E238" s="118"/>
      <c r="F238" s="119"/>
      <c r="G238" s="149"/>
      <c r="H238" s="22"/>
      <c r="I238" s="22"/>
    </row>
    <row x14ac:dyDescent="0.25" r="239" customHeight="1" ht="12.75">
      <c r="A239" s="3"/>
      <c r="B239" s="22"/>
      <c r="C239" s="119"/>
      <c r="D239" s="118"/>
      <c r="E239" s="118"/>
      <c r="F239" s="119"/>
      <c r="G239" s="149"/>
      <c r="H239" s="22"/>
      <c r="I239" s="22"/>
    </row>
    <row x14ac:dyDescent="0.25" r="240" customHeight="1" ht="12.75">
      <c r="A240" s="3"/>
      <c r="B240" s="22"/>
      <c r="C240" s="119"/>
      <c r="D240" s="118"/>
      <c r="E240" s="118"/>
      <c r="F240" s="119"/>
      <c r="G240" s="149"/>
      <c r="H240" s="22"/>
      <c r="I240" s="22"/>
    </row>
    <row x14ac:dyDescent="0.25" r="241" customHeight="1" ht="12.75">
      <c r="A241" s="3"/>
      <c r="B241" s="22"/>
      <c r="C241" s="119"/>
      <c r="D241" s="118"/>
      <c r="E241" s="118"/>
      <c r="F241" s="119"/>
      <c r="G241" s="149"/>
      <c r="H241" s="22"/>
      <c r="I241" s="22"/>
    </row>
    <row x14ac:dyDescent="0.25" r="242" customHeight="1" ht="12.75">
      <c r="A242" s="3"/>
      <c r="B242" s="22"/>
      <c r="C242" s="119"/>
      <c r="D242" s="118"/>
      <c r="E242" s="118"/>
      <c r="F242" s="119"/>
      <c r="G242" s="149"/>
      <c r="H242" s="22"/>
      <c r="I242" s="22"/>
    </row>
    <row x14ac:dyDescent="0.25" r="243" customHeight="1" ht="12.75">
      <c r="A243" s="3"/>
      <c r="B243" s="22"/>
      <c r="C243" s="119"/>
      <c r="D243" s="118"/>
      <c r="E243" s="118"/>
      <c r="F243" s="119"/>
      <c r="G243" s="149"/>
      <c r="H243" s="22"/>
      <c r="I243" s="22"/>
    </row>
    <row x14ac:dyDescent="0.25" r="244" customHeight="1" ht="12.75">
      <c r="A244" s="3"/>
      <c r="B244" s="22"/>
      <c r="C244" s="119"/>
      <c r="D244" s="118"/>
      <c r="E244" s="118"/>
      <c r="F244" s="119"/>
      <c r="G244" s="149"/>
      <c r="H244" s="22"/>
      <c r="I244" s="22"/>
    </row>
    <row x14ac:dyDescent="0.25" r="245" customHeight="1" ht="12.75">
      <c r="A245" s="3"/>
      <c r="B245" s="22"/>
      <c r="C245" s="119"/>
      <c r="D245" s="118"/>
      <c r="E245" s="118"/>
      <c r="F245" s="119"/>
      <c r="G245" s="149"/>
      <c r="H245" s="22"/>
      <c r="I245" s="22"/>
    </row>
    <row x14ac:dyDescent="0.25" r="246" customHeight="1" ht="12.75">
      <c r="A246" s="3"/>
      <c r="B246" s="22"/>
      <c r="C246" s="119"/>
      <c r="D246" s="118"/>
      <c r="E246" s="118"/>
      <c r="F246" s="119"/>
      <c r="G246" s="149"/>
      <c r="H246" s="22"/>
      <c r="I246" s="22"/>
    </row>
    <row x14ac:dyDescent="0.25" r="247" customHeight="1" ht="12.75">
      <c r="A247" s="3"/>
      <c r="B247" s="22"/>
      <c r="C247" s="119"/>
      <c r="D247" s="118"/>
      <c r="E247" s="118"/>
      <c r="F247" s="119"/>
      <c r="G247" s="149"/>
      <c r="H247" s="22"/>
      <c r="I247" s="22"/>
    </row>
    <row x14ac:dyDescent="0.25" r="248" customHeight="1" ht="12.75">
      <c r="A248" s="3"/>
      <c r="B248" s="22"/>
      <c r="C248" s="119"/>
      <c r="D248" s="118"/>
      <c r="E248" s="118"/>
      <c r="F248" s="119"/>
      <c r="G248" s="149"/>
      <c r="H248" s="22"/>
      <c r="I248" s="22"/>
    </row>
    <row x14ac:dyDescent="0.25" r="249" customHeight="1" ht="12.75">
      <c r="A249" s="3"/>
      <c r="B249" s="22"/>
      <c r="C249" s="119"/>
      <c r="D249" s="118"/>
      <c r="E249" s="118"/>
      <c r="F249" s="119"/>
      <c r="G249" s="149"/>
      <c r="H249" s="22"/>
      <c r="I249" s="22"/>
    </row>
    <row x14ac:dyDescent="0.25" r="250" customHeight="1" ht="12.75">
      <c r="A250" s="3"/>
      <c r="B250" s="22"/>
      <c r="C250" s="119"/>
      <c r="D250" s="118"/>
      <c r="E250" s="118"/>
      <c r="F250" s="119"/>
      <c r="G250" s="149"/>
      <c r="H250" s="22"/>
      <c r="I250" s="22"/>
    </row>
    <row x14ac:dyDescent="0.25" r="251" customHeight="1" ht="12.75">
      <c r="A251" s="3"/>
      <c r="B251" s="22"/>
      <c r="C251" s="119"/>
      <c r="D251" s="118"/>
      <c r="E251" s="118"/>
      <c r="F251" s="119"/>
      <c r="G251" s="149"/>
      <c r="H251" s="22"/>
      <c r="I251" s="22"/>
    </row>
    <row x14ac:dyDescent="0.25" r="252" customHeight="1" ht="12.75">
      <c r="A252" s="3"/>
      <c r="B252" s="22"/>
      <c r="C252" s="119"/>
      <c r="D252" s="118"/>
      <c r="E252" s="118"/>
      <c r="F252" s="119"/>
      <c r="G252" s="149"/>
      <c r="H252" s="22"/>
      <c r="I252" s="22"/>
    </row>
    <row x14ac:dyDescent="0.25" r="253" customHeight="1" ht="12.75">
      <c r="A253" s="3"/>
      <c r="B253" s="22"/>
      <c r="C253" s="119"/>
      <c r="D253" s="118"/>
      <c r="E253" s="118"/>
      <c r="F253" s="119"/>
      <c r="G253" s="149"/>
      <c r="H253" s="22"/>
      <c r="I253" s="22"/>
    </row>
    <row x14ac:dyDescent="0.25" r="254" customHeight="1" ht="12.75">
      <c r="A254" s="3"/>
      <c r="B254" s="22"/>
      <c r="C254" s="119"/>
      <c r="D254" s="118"/>
      <c r="E254" s="118"/>
      <c r="F254" s="119"/>
      <c r="G254" s="149"/>
      <c r="H254" s="22"/>
      <c r="I254" s="22"/>
    </row>
    <row x14ac:dyDescent="0.25" r="255" customHeight="1" ht="12.75">
      <c r="A255" s="3"/>
      <c r="B255" s="22"/>
      <c r="C255" s="119"/>
      <c r="D255" s="118"/>
      <c r="E255" s="118"/>
      <c r="F255" s="119"/>
      <c r="G255" s="149"/>
      <c r="H255" s="22"/>
      <c r="I255" s="22"/>
    </row>
    <row x14ac:dyDescent="0.25" r="256" customHeight="1" ht="12.75">
      <c r="A256" s="3"/>
      <c r="B256" s="22"/>
      <c r="C256" s="119"/>
      <c r="D256" s="118"/>
      <c r="E256" s="118"/>
      <c r="F256" s="119"/>
      <c r="G256" s="149"/>
      <c r="H256" s="22"/>
      <c r="I256" s="22"/>
    </row>
    <row x14ac:dyDescent="0.25" r="257" customHeight="1" ht="12.75">
      <c r="A257" s="3"/>
      <c r="B257" s="22"/>
      <c r="C257" s="119"/>
      <c r="D257" s="118"/>
      <c r="E257" s="118"/>
      <c r="F257" s="119"/>
      <c r="G257" s="149"/>
      <c r="H257" s="22"/>
      <c r="I257" s="22"/>
    </row>
    <row x14ac:dyDescent="0.25" r="258" customHeight="1" ht="12.75">
      <c r="A258" s="3"/>
      <c r="B258" s="22"/>
      <c r="C258" s="119"/>
      <c r="D258" s="118"/>
      <c r="E258" s="118"/>
      <c r="F258" s="119"/>
      <c r="G258" s="149"/>
      <c r="H258" s="22"/>
      <c r="I258" s="22"/>
    </row>
    <row x14ac:dyDescent="0.25" r="259" customHeight="1" ht="12.75">
      <c r="A259" s="3"/>
      <c r="B259" s="22"/>
      <c r="C259" s="119"/>
      <c r="D259" s="118"/>
      <c r="E259" s="118"/>
      <c r="F259" s="119"/>
      <c r="G259" s="149"/>
      <c r="H259" s="22"/>
      <c r="I259" s="22"/>
    </row>
    <row x14ac:dyDescent="0.25" r="260" customHeight="1" ht="12.75">
      <c r="A260" s="3"/>
      <c r="B260" s="22"/>
      <c r="C260" s="119"/>
      <c r="D260" s="118"/>
      <c r="E260" s="118"/>
      <c r="F260" s="119"/>
      <c r="G260" s="149"/>
      <c r="H260" s="22"/>
      <c r="I260" s="22"/>
    </row>
    <row x14ac:dyDescent="0.25" r="261" customHeight="1" ht="12.75">
      <c r="A261" s="3"/>
      <c r="B261" s="22"/>
      <c r="C261" s="119"/>
      <c r="D261" s="118"/>
      <c r="E261" s="118"/>
      <c r="F261" s="119"/>
      <c r="G261" s="149"/>
      <c r="H261" s="22"/>
      <c r="I261" s="22"/>
    </row>
    <row x14ac:dyDescent="0.25" r="262" customHeight="1" ht="12.75">
      <c r="A262" s="3"/>
      <c r="B262" s="22"/>
      <c r="C262" s="119"/>
      <c r="D262" s="118"/>
      <c r="E262" s="118"/>
      <c r="F262" s="119"/>
      <c r="G262" s="149"/>
      <c r="H262" s="22"/>
      <c r="I262" s="22"/>
    </row>
    <row x14ac:dyDescent="0.25" r="263" customHeight="1" ht="12.75">
      <c r="A263" s="3"/>
      <c r="B263" s="22"/>
      <c r="C263" s="119"/>
      <c r="D263" s="118"/>
      <c r="E263" s="118"/>
      <c r="F263" s="119"/>
      <c r="G263" s="149"/>
      <c r="H263" s="22"/>
      <c r="I263" s="22"/>
    </row>
    <row x14ac:dyDescent="0.25" r="264" customHeight="1" ht="12.75">
      <c r="A264" s="3"/>
      <c r="B264" s="22"/>
      <c r="C264" s="119"/>
      <c r="D264" s="118"/>
      <c r="E264" s="118"/>
      <c r="F264" s="119"/>
      <c r="G264" s="149"/>
      <c r="H264" s="22"/>
      <c r="I264" s="22"/>
    </row>
    <row x14ac:dyDescent="0.25" r="265" customHeight="1" ht="12.75">
      <c r="A265" s="3"/>
      <c r="B265" s="22"/>
      <c r="C265" s="119"/>
      <c r="D265" s="118"/>
      <c r="E265" s="118"/>
      <c r="F265" s="119"/>
      <c r="G265" s="149"/>
      <c r="H265" s="22"/>
      <c r="I265" s="22"/>
    </row>
    <row x14ac:dyDescent="0.25" r="266" customHeight="1" ht="12.75">
      <c r="A266" s="3"/>
      <c r="B266" s="22"/>
      <c r="C266" s="119"/>
      <c r="D266" s="118"/>
      <c r="E266" s="118"/>
      <c r="F266" s="119"/>
      <c r="G266" s="149"/>
      <c r="H266" s="22"/>
      <c r="I266" s="22"/>
    </row>
    <row x14ac:dyDescent="0.25" r="267" customHeight="1" ht="12.75">
      <c r="A267" s="3"/>
      <c r="B267" s="22"/>
      <c r="C267" s="119"/>
      <c r="D267" s="118"/>
      <c r="E267" s="118"/>
      <c r="F267" s="119"/>
      <c r="G267" s="149"/>
      <c r="H267" s="22"/>
      <c r="I267" s="22"/>
    </row>
    <row x14ac:dyDescent="0.25" r="268" customHeight="1" ht="12.75">
      <c r="A268" s="3"/>
      <c r="B268" s="22"/>
      <c r="C268" s="119"/>
      <c r="D268" s="118"/>
      <c r="E268" s="118"/>
      <c r="F268" s="119"/>
      <c r="G268" s="149"/>
      <c r="H268" s="22"/>
      <c r="I268" s="22"/>
    </row>
    <row x14ac:dyDescent="0.25" r="269" customHeight="1" ht="12.75">
      <c r="A269" s="3"/>
      <c r="B269" s="22"/>
      <c r="C269" s="119"/>
      <c r="D269" s="118"/>
      <c r="E269" s="118"/>
      <c r="F269" s="119"/>
      <c r="G269" s="149"/>
      <c r="H269" s="22"/>
      <c r="I269" s="22"/>
    </row>
    <row x14ac:dyDescent="0.25" r="270" customHeight="1" ht="12.75">
      <c r="A270" s="3"/>
      <c r="B270" s="22"/>
      <c r="C270" s="119"/>
      <c r="D270" s="118"/>
      <c r="E270" s="118"/>
      <c r="F270" s="119"/>
      <c r="G270" s="149"/>
      <c r="H270" s="22"/>
      <c r="I270" s="22"/>
    </row>
    <row x14ac:dyDescent="0.25" r="271" customHeight="1" ht="12.75">
      <c r="A271" s="3"/>
      <c r="B271" s="22"/>
      <c r="C271" s="119"/>
      <c r="D271" s="118"/>
      <c r="E271" s="118"/>
      <c r="F271" s="119"/>
      <c r="G271" s="149"/>
      <c r="H271" s="22"/>
      <c r="I271" s="22"/>
    </row>
    <row x14ac:dyDescent="0.25" r="272" customHeight="1" ht="12.75">
      <c r="A272" s="3"/>
      <c r="B272" s="22"/>
      <c r="C272" s="119"/>
      <c r="D272" s="118"/>
      <c r="E272" s="118"/>
      <c r="F272" s="119"/>
      <c r="G272" s="149"/>
      <c r="H272" s="22"/>
      <c r="I272" s="22"/>
    </row>
    <row x14ac:dyDescent="0.25" r="273" customHeight="1" ht="12.75">
      <c r="A273" s="3"/>
      <c r="B273" s="22"/>
      <c r="C273" s="119"/>
      <c r="D273" s="118"/>
      <c r="E273" s="118"/>
      <c r="F273" s="119"/>
      <c r="G273" s="149"/>
      <c r="H273" s="22"/>
      <c r="I273" s="22"/>
    </row>
    <row x14ac:dyDescent="0.25" r="274" customHeight="1" ht="12.75">
      <c r="A274" s="3"/>
      <c r="B274" s="22"/>
      <c r="C274" s="119"/>
      <c r="D274" s="118"/>
      <c r="E274" s="118"/>
      <c r="F274" s="119"/>
      <c r="G274" s="149"/>
      <c r="H274" s="22"/>
      <c r="I274" s="22"/>
    </row>
    <row x14ac:dyDescent="0.25" r="275" customHeight="1" ht="12.75">
      <c r="A275" s="3"/>
      <c r="B275" s="22"/>
      <c r="C275" s="119"/>
      <c r="D275" s="118"/>
      <c r="E275" s="118"/>
      <c r="F275" s="119"/>
      <c r="G275" s="149"/>
      <c r="H275" s="22"/>
      <c r="I275" s="22"/>
    </row>
    <row x14ac:dyDescent="0.25" r="276" customHeight="1" ht="12.75">
      <c r="A276" s="3"/>
      <c r="B276" s="22"/>
      <c r="C276" s="119"/>
      <c r="D276" s="118"/>
      <c r="E276" s="118"/>
      <c r="F276" s="119"/>
      <c r="G276" s="149"/>
      <c r="H276" s="22"/>
      <c r="I276" s="22"/>
    </row>
    <row x14ac:dyDescent="0.25" r="277" customHeight="1" ht="12.75">
      <c r="A277" s="3"/>
      <c r="B277" s="22"/>
      <c r="C277" s="119"/>
      <c r="D277" s="118"/>
      <c r="E277" s="118"/>
      <c r="F277" s="119"/>
      <c r="G277" s="149"/>
      <c r="H277" s="22"/>
      <c r="I277" s="22"/>
    </row>
    <row x14ac:dyDescent="0.25" r="278" customHeight="1" ht="12.75">
      <c r="A278" s="3"/>
      <c r="B278" s="22"/>
      <c r="C278" s="119"/>
      <c r="D278" s="118"/>
      <c r="E278" s="118"/>
      <c r="F278" s="119"/>
      <c r="G278" s="149"/>
      <c r="H278" s="22"/>
      <c r="I278" s="22"/>
    </row>
    <row x14ac:dyDescent="0.25" r="279" customHeight="1" ht="12.75">
      <c r="A279" s="3"/>
      <c r="B279" s="22"/>
      <c r="C279" s="119"/>
      <c r="D279" s="118"/>
      <c r="E279" s="118"/>
      <c r="F279" s="119"/>
      <c r="G279" s="149"/>
      <c r="H279" s="22"/>
      <c r="I279" s="22"/>
    </row>
    <row x14ac:dyDescent="0.25" r="280" customHeight="1" ht="12.75">
      <c r="A280" s="3"/>
      <c r="B280" s="22"/>
      <c r="C280" s="119"/>
      <c r="D280" s="118"/>
      <c r="E280" s="118"/>
      <c r="F280" s="119"/>
      <c r="G280" s="149"/>
      <c r="H280" s="22"/>
      <c r="I280" s="22"/>
    </row>
    <row x14ac:dyDescent="0.25" r="281" customHeight="1" ht="12.75">
      <c r="A281" s="3"/>
      <c r="B281" s="22"/>
      <c r="C281" s="119"/>
      <c r="D281" s="118"/>
      <c r="E281" s="118"/>
      <c r="F281" s="119"/>
      <c r="G281" s="149"/>
      <c r="H281" s="22"/>
      <c r="I281" s="22"/>
    </row>
    <row x14ac:dyDescent="0.25" r="282" customHeight="1" ht="12.75">
      <c r="A282" s="3"/>
      <c r="B282" s="22"/>
      <c r="C282" s="119"/>
      <c r="D282" s="118"/>
      <c r="E282" s="118"/>
      <c r="F282" s="119"/>
      <c r="G282" s="149"/>
      <c r="H282" s="22"/>
      <c r="I282" s="22"/>
    </row>
    <row x14ac:dyDescent="0.25" r="283" customHeight="1" ht="12.75">
      <c r="A283" s="3"/>
      <c r="B283" s="22"/>
      <c r="C283" s="119"/>
      <c r="D283" s="118"/>
      <c r="E283" s="118"/>
      <c r="F283" s="119"/>
      <c r="G283" s="149"/>
      <c r="H283" s="22"/>
      <c r="I283" s="22"/>
    </row>
    <row x14ac:dyDescent="0.25" r="284" customHeight="1" ht="12.75">
      <c r="A284" s="3"/>
      <c r="B284" s="22"/>
      <c r="C284" s="119"/>
      <c r="D284" s="118"/>
      <c r="E284" s="118"/>
      <c r="F284" s="119"/>
      <c r="G284" s="149"/>
      <c r="H284" s="22"/>
      <c r="I284" s="22"/>
    </row>
    <row x14ac:dyDescent="0.25" r="285" customHeight="1" ht="12.75">
      <c r="A285" s="3"/>
      <c r="B285" s="22"/>
      <c r="C285" s="119"/>
      <c r="D285" s="118"/>
      <c r="E285" s="118"/>
      <c r="F285" s="119"/>
      <c r="G285" s="149"/>
      <c r="H285" s="22"/>
      <c r="I285" s="22"/>
    </row>
    <row x14ac:dyDescent="0.25" r="286" customHeight="1" ht="12.75">
      <c r="A286" s="3"/>
      <c r="B286" s="22"/>
      <c r="C286" s="119"/>
      <c r="D286" s="118"/>
      <c r="E286" s="118"/>
      <c r="F286" s="119"/>
      <c r="G286" s="149"/>
      <c r="H286" s="22"/>
      <c r="I286" s="22"/>
    </row>
    <row x14ac:dyDescent="0.25" r="287" customHeight="1" ht="12.75">
      <c r="A287" s="3"/>
      <c r="B287" s="22"/>
      <c r="C287" s="119"/>
      <c r="D287" s="118"/>
      <c r="E287" s="118"/>
      <c r="F287" s="119"/>
      <c r="G287" s="149"/>
      <c r="H287" s="22"/>
      <c r="I287" s="22"/>
    </row>
    <row x14ac:dyDescent="0.25" r="288" customHeight="1" ht="12.75">
      <c r="A288" s="3"/>
      <c r="B288" s="22"/>
      <c r="C288" s="119"/>
      <c r="D288" s="118"/>
      <c r="E288" s="118"/>
      <c r="F288" s="119"/>
      <c r="G288" s="149"/>
      <c r="H288" s="22"/>
      <c r="I288" s="22"/>
    </row>
    <row x14ac:dyDescent="0.25" r="289" customHeight="1" ht="12.75">
      <c r="A289" s="3"/>
      <c r="B289" s="22"/>
      <c r="C289" s="150"/>
      <c r="D289" s="151"/>
      <c r="E289" s="151"/>
      <c r="F289" s="150"/>
      <c r="G289" s="149"/>
      <c r="H289" s="22"/>
      <c r="I289" s="22"/>
    </row>
    <row x14ac:dyDescent="0.25" r="290" customHeight="1" ht="12.75">
      <c r="A290" s="3"/>
      <c r="B290" s="22"/>
      <c r="C290" s="150"/>
      <c r="D290" s="151"/>
      <c r="E290" s="151"/>
      <c r="F290" s="150"/>
      <c r="G290" s="149"/>
      <c r="H290" s="22"/>
      <c r="I290" s="22"/>
    </row>
    <row x14ac:dyDescent="0.25" r="291" customHeight="1" ht="12.75">
      <c r="A291" s="3"/>
      <c r="B291" s="22"/>
      <c r="C291" s="150"/>
      <c r="D291" s="151"/>
      <c r="E291" s="151"/>
      <c r="F291" s="150"/>
      <c r="G291" s="149"/>
      <c r="H291" s="22"/>
      <c r="I291" s="22"/>
    </row>
    <row x14ac:dyDescent="0.25" r="292" customHeight="1" ht="12.75">
      <c r="A292" s="3"/>
      <c r="B292" s="22"/>
      <c r="C292" s="150"/>
      <c r="D292" s="151"/>
      <c r="E292" s="151"/>
      <c r="F292" s="150"/>
      <c r="G292" s="149"/>
      <c r="H292" s="22"/>
      <c r="I292" s="22"/>
    </row>
    <row x14ac:dyDescent="0.25" r="293" customHeight="1" ht="12.75">
      <c r="A293" s="3"/>
      <c r="B293" s="22"/>
      <c r="C293" s="150"/>
      <c r="D293" s="151"/>
      <c r="E293" s="151"/>
      <c r="F293" s="150"/>
      <c r="G293" s="149"/>
      <c r="H293" s="22"/>
      <c r="I293" s="22"/>
    </row>
    <row x14ac:dyDescent="0.25" r="294" customHeight="1" ht="12.75">
      <c r="A294" s="3"/>
      <c r="B294" s="22"/>
      <c r="C294" s="150"/>
      <c r="D294" s="151"/>
      <c r="E294" s="151"/>
      <c r="F294" s="150"/>
      <c r="G294" s="149"/>
      <c r="H294" s="22"/>
      <c r="I294" s="22"/>
    </row>
    <row x14ac:dyDescent="0.25" r="295" customHeight="1" ht="12.75">
      <c r="A295" s="3"/>
      <c r="B295" s="22"/>
      <c r="C295" s="150"/>
      <c r="D295" s="151"/>
      <c r="E295" s="151"/>
      <c r="F295" s="150"/>
      <c r="G295" s="149"/>
      <c r="H295" s="22"/>
      <c r="I295" s="22"/>
    </row>
    <row x14ac:dyDescent="0.25" r="296" customHeight="1" ht="12.75">
      <c r="A296" s="3"/>
      <c r="B296" s="22"/>
      <c r="C296" s="150"/>
      <c r="D296" s="151"/>
      <c r="E296" s="151"/>
      <c r="F296" s="150"/>
      <c r="G296" s="149"/>
      <c r="H296" s="22"/>
      <c r="I296" s="22"/>
    </row>
    <row x14ac:dyDescent="0.25" r="297" customHeight="1" ht="12.75">
      <c r="A297" s="3"/>
      <c r="B297" s="22"/>
      <c r="C297" s="150"/>
      <c r="D297" s="151"/>
      <c r="E297" s="151"/>
      <c r="F297" s="150"/>
      <c r="G297" s="149"/>
      <c r="H297" s="22"/>
      <c r="I297" s="22"/>
    </row>
    <row x14ac:dyDescent="0.25" r="298" customHeight="1" ht="12.75">
      <c r="A298" s="3"/>
      <c r="B298" s="22"/>
      <c r="C298" s="150"/>
      <c r="D298" s="151"/>
      <c r="E298" s="151"/>
      <c r="F298" s="150"/>
      <c r="G298" s="149"/>
      <c r="H298" s="22"/>
      <c r="I298" s="22"/>
    </row>
    <row x14ac:dyDescent="0.25" r="299" customHeight="1" ht="12.75">
      <c r="A299" s="3"/>
      <c r="B299" s="22"/>
      <c r="C299" s="150"/>
      <c r="D299" s="151"/>
      <c r="E299" s="151"/>
      <c r="F299" s="150"/>
      <c r="G299" s="149"/>
      <c r="H299" s="22"/>
      <c r="I299" s="22"/>
    </row>
    <row x14ac:dyDescent="0.25" r="300" customHeight="1" ht="12.75">
      <c r="A300" s="3"/>
      <c r="B300" s="22"/>
      <c r="C300" s="150"/>
      <c r="D300" s="151"/>
      <c r="E300" s="151"/>
      <c r="F300" s="150"/>
      <c r="G300" s="149"/>
      <c r="H300" s="22"/>
      <c r="I300" s="22"/>
    </row>
    <row x14ac:dyDescent="0.25" r="301" customHeight="1" ht="17.25">
      <c r="A301" s="3"/>
      <c r="B301" s="22"/>
      <c r="C301" s="150"/>
      <c r="D301" s="151"/>
      <c r="E301" s="151"/>
      <c r="F301" s="150"/>
      <c r="G301" s="149"/>
      <c r="H301" s="22"/>
      <c r="I301" s="22"/>
    </row>
    <row x14ac:dyDescent="0.25" r="302" customHeight="1" ht="17.25">
      <c r="A302" s="3"/>
      <c r="B302" s="22"/>
      <c r="C302" s="150"/>
      <c r="D302" s="151"/>
      <c r="E302" s="151"/>
      <c r="F302" s="150"/>
      <c r="G302" s="149"/>
      <c r="H302" s="22"/>
      <c r="I302" s="22"/>
    </row>
    <row x14ac:dyDescent="0.25" r="303" customHeight="1" ht="17.25">
      <c r="A303" s="3"/>
      <c r="B303" s="22"/>
      <c r="C303" s="150"/>
      <c r="D303" s="151"/>
      <c r="E303" s="151"/>
      <c r="F303" s="150"/>
      <c r="G303" s="149"/>
      <c r="H303" s="22"/>
      <c r="I303" s="22"/>
    </row>
    <row x14ac:dyDescent="0.25" r="304" customHeight="1" ht="17.25">
      <c r="A304" s="3"/>
      <c r="B304" s="22"/>
      <c r="C304" s="150"/>
      <c r="D304" s="151"/>
      <c r="E304" s="151"/>
      <c r="F304" s="150"/>
      <c r="G304" s="149"/>
      <c r="H304" s="22"/>
      <c r="I304" s="22"/>
    </row>
    <row x14ac:dyDescent="0.25" r="305" customHeight="1" ht="17.25">
      <c r="A305" s="3"/>
      <c r="B305" s="22"/>
      <c r="C305" s="150"/>
      <c r="D305" s="151"/>
      <c r="E305" s="151"/>
      <c r="F305" s="150"/>
      <c r="G305" s="149"/>
      <c r="H305" s="22"/>
      <c r="I305" s="22"/>
    </row>
    <row x14ac:dyDescent="0.25" r="306" customHeight="1" ht="17.25">
      <c r="A306" s="3"/>
      <c r="B306" s="22"/>
      <c r="C306" s="150"/>
      <c r="D306" s="151"/>
      <c r="E306" s="151"/>
      <c r="F306" s="150"/>
      <c r="G306" s="149"/>
      <c r="H306" s="22"/>
      <c r="I306" s="22"/>
    </row>
    <row x14ac:dyDescent="0.25" r="307" customHeight="1" ht="17.25">
      <c r="A307" s="3"/>
      <c r="B307" s="22"/>
      <c r="C307" s="150"/>
      <c r="D307" s="151"/>
      <c r="E307" s="151"/>
      <c r="F307" s="150"/>
      <c r="G307" s="149"/>
      <c r="H307" s="22"/>
      <c r="I307" s="22"/>
    </row>
    <row x14ac:dyDescent="0.25" r="308" customHeight="1" ht="17.25">
      <c r="A308" s="3"/>
      <c r="B308" s="22"/>
      <c r="C308" s="150"/>
      <c r="D308" s="151"/>
      <c r="E308" s="151"/>
      <c r="F308" s="150"/>
      <c r="G308" s="149"/>
      <c r="H308" s="22"/>
      <c r="I308" s="22"/>
    </row>
    <row x14ac:dyDescent="0.25" r="309" customHeight="1" ht="17.25">
      <c r="A309" s="3"/>
      <c r="B309" s="22"/>
      <c r="C309" s="150"/>
      <c r="D309" s="151"/>
      <c r="E309" s="151"/>
      <c r="F309" s="150"/>
      <c r="G309" s="149"/>
      <c r="H309" s="22"/>
      <c r="I309" s="22"/>
    </row>
    <row x14ac:dyDescent="0.25" r="310" customHeight="1" ht="17.25">
      <c r="A310" s="3"/>
      <c r="B310" s="22"/>
      <c r="C310" s="150"/>
      <c r="D310" s="151"/>
      <c r="E310" s="151"/>
      <c r="F310" s="150"/>
      <c r="G310" s="149"/>
      <c r="H310" s="22"/>
      <c r="I310" s="22"/>
    </row>
    <row x14ac:dyDescent="0.25" r="311" customHeight="1" ht="17.25">
      <c r="A311" s="3"/>
      <c r="B311" s="22"/>
      <c r="C311" s="150"/>
      <c r="D311" s="151"/>
      <c r="E311" s="151"/>
      <c r="F311" s="150"/>
      <c r="G311" s="149"/>
      <c r="H311" s="22"/>
      <c r="I311" s="22"/>
    </row>
    <row x14ac:dyDescent="0.25" r="312" customHeight="1" ht="17.25">
      <c r="A312" s="3"/>
      <c r="B312" s="22"/>
      <c r="C312" s="150"/>
      <c r="D312" s="151"/>
      <c r="E312" s="151"/>
      <c r="F312" s="150"/>
      <c r="G312" s="149"/>
      <c r="H312" s="22"/>
      <c r="I312" s="22"/>
    </row>
    <row x14ac:dyDescent="0.25" r="313" customHeight="1" ht="17.25">
      <c r="A313" s="3"/>
      <c r="B313" s="22"/>
      <c r="C313" s="150"/>
      <c r="D313" s="151"/>
      <c r="E313" s="151"/>
      <c r="F313" s="150"/>
      <c r="G313" s="149"/>
      <c r="H313" s="22"/>
      <c r="I313" s="22"/>
    </row>
    <row x14ac:dyDescent="0.25" r="314" customHeight="1" ht="17.25">
      <c r="A314" s="3"/>
      <c r="B314" s="22"/>
      <c r="C314" s="150"/>
      <c r="D314" s="151"/>
      <c r="E314" s="151"/>
      <c r="F314" s="150"/>
      <c r="G314" s="149"/>
      <c r="H314" s="22"/>
      <c r="I314" s="22"/>
    </row>
    <row x14ac:dyDescent="0.25" r="315" customHeight="1" ht="17.25">
      <c r="A315" s="3"/>
      <c r="B315" s="22"/>
      <c r="C315" s="150"/>
      <c r="D315" s="151"/>
      <c r="E315" s="151"/>
      <c r="F315" s="150"/>
      <c r="G315" s="149"/>
      <c r="H315" s="22"/>
      <c r="I315" s="22"/>
    </row>
    <row x14ac:dyDescent="0.25" r="316" customHeight="1" ht="17.25">
      <c r="A316" s="3"/>
      <c r="B316" s="22"/>
      <c r="C316" s="150"/>
      <c r="D316" s="151"/>
      <c r="E316" s="151"/>
      <c r="F316" s="150"/>
      <c r="G316" s="149"/>
      <c r="H316" s="22"/>
      <c r="I316" s="22"/>
    </row>
    <row x14ac:dyDescent="0.25" r="317" customHeight="1" ht="17.25">
      <c r="A317" s="3"/>
      <c r="B317" s="22"/>
      <c r="C317" s="150"/>
      <c r="D317" s="151"/>
      <c r="E317" s="151"/>
      <c r="F317" s="150"/>
      <c r="G317" s="149"/>
      <c r="H317" s="22"/>
      <c r="I317" s="22"/>
    </row>
    <row x14ac:dyDescent="0.25" r="318" customHeight="1" ht="17.25">
      <c r="A318" s="3"/>
      <c r="B318" s="22"/>
      <c r="C318" s="150"/>
      <c r="D318" s="151"/>
      <c r="E318" s="151"/>
      <c r="F318" s="150"/>
      <c r="G318" s="149"/>
      <c r="H318" s="22"/>
      <c r="I318" s="22"/>
    </row>
    <row x14ac:dyDescent="0.25" r="319" customHeight="1" ht="17.25">
      <c r="A319" s="3"/>
      <c r="B319" s="22"/>
      <c r="C319" s="150"/>
      <c r="D319" s="151"/>
      <c r="E319" s="151"/>
      <c r="F319" s="150"/>
      <c r="G319" s="149"/>
      <c r="H319" s="22"/>
      <c r="I319" s="22"/>
    </row>
    <row x14ac:dyDescent="0.25" r="320" customHeight="1" ht="17.25">
      <c r="A320" s="3"/>
      <c r="B320" s="22"/>
      <c r="C320" s="150"/>
      <c r="D320" s="151"/>
      <c r="E320" s="151"/>
      <c r="F320" s="150"/>
      <c r="G320" s="149"/>
      <c r="H320" s="22"/>
      <c r="I320" s="22"/>
    </row>
    <row x14ac:dyDescent="0.25" r="321" customHeight="1" ht="17.25">
      <c r="A321" s="3"/>
      <c r="B321" s="22"/>
      <c r="C321" s="150"/>
      <c r="D321" s="151"/>
      <c r="E321" s="151"/>
      <c r="F321" s="150"/>
      <c r="G321" s="149"/>
      <c r="H321" s="22"/>
      <c r="I321" s="22"/>
    </row>
    <row x14ac:dyDescent="0.25" r="322" customHeight="1" ht="17.25">
      <c r="A322" s="3"/>
      <c r="B322" s="22"/>
      <c r="C322" s="150"/>
      <c r="D322" s="151"/>
      <c r="E322" s="151"/>
      <c r="F322" s="150"/>
      <c r="G322" s="149"/>
      <c r="H322" s="22"/>
      <c r="I322" s="22"/>
    </row>
    <row x14ac:dyDescent="0.25" r="323" customHeight="1" ht="17.25">
      <c r="A323" s="3"/>
      <c r="B323" s="22"/>
      <c r="C323" s="150"/>
      <c r="D323" s="151"/>
      <c r="E323" s="151"/>
      <c r="F323" s="150"/>
      <c r="G323" s="149"/>
      <c r="H323" s="22"/>
      <c r="I323" s="22"/>
    </row>
    <row x14ac:dyDescent="0.25" r="324" customHeight="1" ht="17.25">
      <c r="A324" s="3"/>
      <c r="B324" s="22"/>
      <c r="C324" s="150"/>
      <c r="D324" s="151"/>
      <c r="E324" s="151"/>
      <c r="F324" s="150"/>
      <c r="G324" s="149"/>
      <c r="H324" s="22"/>
      <c r="I324" s="22"/>
    </row>
    <row x14ac:dyDescent="0.25" r="325" customHeight="1" ht="17.25">
      <c r="A325" s="3"/>
      <c r="B325" s="22"/>
      <c r="C325" s="150"/>
      <c r="D325" s="151"/>
      <c r="E325" s="151"/>
      <c r="F325" s="150"/>
      <c r="G325" s="149"/>
      <c r="H325" s="22"/>
      <c r="I325" s="22"/>
    </row>
    <row x14ac:dyDescent="0.25" r="326" customHeight="1" ht="17.25">
      <c r="A326" s="3"/>
      <c r="B326" s="22"/>
      <c r="C326" s="150"/>
      <c r="D326" s="151"/>
      <c r="E326" s="151"/>
      <c r="F326" s="150"/>
      <c r="G326" s="149"/>
      <c r="H326" s="22"/>
      <c r="I326" s="22"/>
    </row>
    <row x14ac:dyDescent="0.25" r="327" customHeight="1" ht="17.25">
      <c r="A327" s="3"/>
      <c r="B327" s="22"/>
      <c r="C327" s="150"/>
      <c r="D327" s="151"/>
      <c r="E327" s="151"/>
      <c r="F327" s="150"/>
      <c r="G327" s="149"/>
      <c r="H327" s="22"/>
      <c r="I327" s="22"/>
    </row>
    <row x14ac:dyDescent="0.25" r="328" customHeight="1" ht="17.25">
      <c r="A328" s="3"/>
      <c r="B328" s="22"/>
      <c r="C328" s="150"/>
      <c r="D328" s="151"/>
      <c r="E328" s="151"/>
      <c r="F328" s="150"/>
      <c r="G328" s="149"/>
      <c r="H328" s="22"/>
      <c r="I328" s="22"/>
    </row>
    <row x14ac:dyDescent="0.25" r="329" customHeight="1" ht="17.25">
      <c r="A329" s="3"/>
      <c r="B329" s="22"/>
      <c r="C329" s="150"/>
      <c r="D329" s="151"/>
      <c r="E329" s="151"/>
      <c r="F329" s="150"/>
      <c r="G329" s="149"/>
      <c r="H329" s="22"/>
      <c r="I329" s="22"/>
    </row>
    <row x14ac:dyDescent="0.25" r="330" customHeight="1" ht="17.25">
      <c r="A330" s="3"/>
      <c r="B330" s="22"/>
      <c r="C330" s="150"/>
      <c r="D330" s="151"/>
      <c r="E330" s="151"/>
      <c r="F330" s="150"/>
      <c r="G330" s="149"/>
      <c r="H330" s="22"/>
      <c r="I330" s="22"/>
    </row>
    <row x14ac:dyDescent="0.25" r="331" customHeight="1" ht="17.25">
      <c r="A331" s="3"/>
      <c r="B331" s="22"/>
      <c r="C331" s="150"/>
      <c r="D331" s="151"/>
      <c r="E331" s="151"/>
      <c r="F331" s="150"/>
      <c r="G331" s="149"/>
      <c r="H331" s="22"/>
      <c r="I331" s="22"/>
    </row>
    <row x14ac:dyDescent="0.25" r="332" customHeight="1" ht="17.25">
      <c r="A332" s="3"/>
      <c r="B332" s="22"/>
      <c r="C332" s="150"/>
      <c r="D332" s="151"/>
      <c r="E332" s="151"/>
      <c r="F332" s="150"/>
      <c r="G332" s="149"/>
      <c r="H332" s="22"/>
      <c r="I332" s="22"/>
    </row>
    <row x14ac:dyDescent="0.25" r="333" customHeight="1" ht="17.25">
      <c r="A333" s="3"/>
      <c r="B333" s="22"/>
      <c r="C333" s="150"/>
      <c r="D333" s="151"/>
      <c r="E333" s="151"/>
      <c r="F333" s="150"/>
      <c r="G333" s="149"/>
      <c r="H333" s="22"/>
      <c r="I333" s="22"/>
    </row>
    <row x14ac:dyDescent="0.25" r="334" customHeight="1" ht="17.25">
      <c r="A334" s="3"/>
      <c r="B334" s="22"/>
      <c r="C334" s="150"/>
      <c r="D334" s="151"/>
      <c r="E334" s="151"/>
      <c r="F334" s="150"/>
      <c r="G334" s="149"/>
      <c r="H334" s="22"/>
      <c r="I334" s="22"/>
    </row>
    <row x14ac:dyDescent="0.25" r="335" customHeight="1" ht="17.25">
      <c r="A335" s="3"/>
      <c r="B335" s="22"/>
      <c r="C335" s="150"/>
      <c r="D335" s="151"/>
      <c r="E335" s="151"/>
      <c r="F335" s="150"/>
      <c r="G335" s="149"/>
      <c r="H335" s="22"/>
      <c r="I335" s="22"/>
    </row>
    <row x14ac:dyDescent="0.25" r="336" customHeight="1" ht="17.25">
      <c r="A336" s="3"/>
      <c r="B336" s="22"/>
      <c r="C336" s="150"/>
      <c r="D336" s="151"/>
      <c r="E336" s="151"/>
      <c r="F336" s="150"/>
      <c r="G336" s="149"/>
      <c r="H336" s="22"/>
      <c r="I336" s="22"/>
    </row>
    <row x14ac:dyDescent="0.25" r="337" customHeight="1" ht="17.25">
      <c r="A337" s="3"/>
      <c r="B337" s="22"/>
      <c r="C337" s="150"/>
      <c r="D337" s="151"/>
      <c r="E337" s="151"/>
      <c r="F337" s="150"/>
      <c r="G337" s="149"/>
      <c r="H337" s="22"/>
      <c r="I337" s="22"/>
    </row>
    <row x14ac:dyDescent="0.25" r="338" customHeight="1" ht="17.25">
      <c r="A338" s="3"/>
      <c r="B338" s="22"/>
      <c r="C338" s="150"/>
      <c r="D338" s="151"/>
      <c r="E338" s="151"/>
      <c r="F338" s="150"/>
      <c r="G338" s="149"/>
      <c r="H338" s="22"/>
      <c r="I338" s="22"/>
    </row>
    <row x14ac:dyDescent="0.25" r="339" customHeight="1" ht="17.25">
      <c r="A339" s="3"/>
      <c r="B339" s="22"/>
      <c r="C339" s="150"/>
      <c r="D339" s="151"/>
      <c r="E339" s="151"/>
      <c r="F339" s="150"/>
      <c r="G339" s="149"/>
      <c r="H339" s="22"/>
      <c r="I339" s="22"/>
    </row>
    <row x14ac:dyDescent="0.25" r="340" customHeight="1" ht="17.25">
      <c r="A340" s="3"/>
      <c r="B340" s="22"/>
      <c r="C340" s="150"/>
      <c r="D340" s="151"/>
      <c r="E340" s="151"/>
      <c r="F340" s="150"/>
      <c r="G340" s="149"/>
      <c r="H340" s="22"/>
      <c r="I340" s="22"/>
    </row>
    <row x14ac:dyDescent="0.25" r="341" customHeight="1" ht="17.25">
      <c r="A341" s="3"/>
      <c r="B341" s="22"/>
      <c r="C341" s="150"/>
      <c r="D341" s="151"/>
      <c r="E341" s="151"/>
      <c r="F341" s="150"/>
      <c r="G341" s="149"/>
      <c r="H341" s="22"/>
      <c r="I341" s="22"/>
    </row>
    <row x14ac:dyDescent="0.25" r="342" customHeight="1" ht="17.25">
      <c r="A342" s="3"/>
      <c r="B342" s="22"/>
      <c r="C342" s="150"/>
      <c r="D342" s="151"/>
      <c r="E342" s="151"/>
      <c r="F342" s="150"/>
      <c r="G342" s="149"/>
      <c r="H342" s="22"/>
      <c r="I342" s="22"/>
    </row>
    <row x14ac:dyDescent="0.25" r="343" customHeight="1" ht="17.25">
      <c r="A343" s="3"/>
      <c r="B343" s="22"/>
      <c r="C343" s="150"/>
      <c r="D343" s="151"/>
      <c r="E343" s="151"/>
      <c r="F343" s="150"/>
      <c r="G343" s="149"/>
      <c r="H343" s="22"/>
      <c r="I343" s="22"/>
    </row>
    <row x14ac:dyDescent="0.25" r="344" customHeight="1" ht="17.25">
      <c r="A344" s="3"/>
      <c r="B344" s="22"/>
      <c r="C344" s="150"/>
      <c r="D344" s="151"/>
      <c r="E344" s="151"/>
      <c r="F344" s="150"/>
      <c r="G344" s="149"/>
      <c r="H344" s="22"/>
      <c r="I344" s="22"/>
    </row>
    <row x14ac:dyDescent="0.25" r="345" customHeight="1" ht="17.25">
      <c r="A345" s="3"/>
      <c r="B345" s="22"/>
      <c r="C345" s="150"/>
      <c r="D345" s="151"/>
      <c r="E345" s="151"/>
      <c r="F345" s="150"/>
      <c r="G345" s="149"/>
      <c r="H345" s="22"/>
      <c r="I345" s="22"/>
    </row>
    <row x14ac:dyDescent="0.25" r="346" customHeight="1" ht="17.25">
      <c r="A346" s="3"/>
      <c r="B346" s="22"/>
      <c r="C346" s="150"/>
      <c r="D346" s="151"/>
      <c r="E346" s="151"/>
      <c r="F346" s="150"/>
      <c r="G346" s="149"/>
      <c r="H346" s="22"/>
      <c r="I346" s="22"/>
    </row>
    <row x14ac:dyDescent="0.25" r="347" customHeight="1" ht="17.25">
      <c r="A347" s="3"/>
      <c r="B347" s="22"/>
      <c r="C347" s="150"/>
      <c r="D347" s="151"/>
      <c r="E347" s="151"/>
      <c r="F347" s="150"/>
      <c r="G347" s="149"/>
      <c r="H347" s="22"/>
      <c r="I347" s="22"/>
    </row>
    <row x14ac:dyDescent="0.25" r="348" customHeight="1" ht="17.25">
      <c r="A348" s="3"/>
      <c r="B348" s="22"/>
      <c r="C348" s="150"/>
      <c r="D348" s="151"/>
      <c r="E348" s="151"/>
      <c r="F348" s="150"/>
      <c r="G348" s="149"/>
      <c r="H348" s="22"/>
      <c r="I348" s="22"/>
    </row>
    <row x14ac:dyDescent="0.25" r="349" customHeight="1" ht="17.25">
      <c r="A349" s="3"/>
      <c r="B349" s="22"/>
      <c r="C349" s="150"/>
      <c r="D349" s="151"/>
      <c r="E349" s="151"/>
      <c r="F349" s="150"/>
      <c r="G349" s="149"/>
      <c r="H349" s="22"/>
      <c r="I349" s="22"/>
    </row>
    <row x14ac:dyDescent="0.25" r="350" customHeight="1" ht="17.25">
      <c r="A350" s="3"/>
      <c r="B350" s="22"/>
      <c r="C350" s="150"/>
      <c r="D350" s="151"/>
      <c r="E350" s="151"/>
      <c r="F350" s="150"/>
      <c r="G350" s="149"/>
      <c r="H350" s="22"/>
      <c r="I350" s="22"/>
    </row>
    <row x14ac:dyDescent="0.25" r="351" customHeight="1" ht="17.25">
      <c r="A351" s="3"/>
      <c r="B351" s="22"/>
      <c r="C351" s="150"/>
      <c r="D351" s="151"/>
      <c r="E351" s="151"/>
      <c r="F351" s="150"/>
      <c r="G351" s="149"/>
      <c r="H351" s="22"/>
      <c r="I351" s="22"/>
    </row>
    <row x14ac:dyDescent="0.25" r="352" customHeight="1" ht="17.25">
      <c r="A352" s="3"/>
      <c r="B352" s="22"/>
      <c r="C352" s="150"/>
      <c r="D352" s="151"/>
      <c r="E352" s="151"/>
      <c r="F352" s="150"/>
      <c r="G352" s="149"/>
      <c r="H352" s="22"/>
      <c r="I352" s="22"/>
    </row>
    <row x14ac:dyDescent="0.25" r="353" customHeight="1" ht="17.25">
      <c r="A353" s="3"/>
      <c r="B353" s="22"/>
      <c r="C353" s="150"/>
      <c r="D353" s="151"/>
      <c r="E353" s="151"/>
      <c r="F353" s="150"/>
      <c r="G353" s="149"/>
      <c r="H353" s="22"/>
      <c r="I353" s="22"/>
    </row>
    <row x14ac:dyDescent="0.25" r="354" customHeight="1" ht="17.25">
      <c r="A354" s="3"/>
      <c r="B354" s="22"/>
      <c r="C354" s="150"/>
      <c r="D354" s="151"/>
      <c r="E354" s="151"/>
      <c r="F354" s="150"/>
      <c r="G354" s="149"/>
      <c r="H354" s="22"/>
      <c r="I354" s="22"/>
    </row>
    <row x14ac:dyDescent="0.25" r="355" customHeight="1" ht="17.25">
      <c r="A355" s="3"/>
      <c r="B355" s="22"/>
      <c r="C355" s="150"/>
      <c r="D355" s="151"/>
      <c r="E355" s="151"/>
      <c r="F355" s="150"/>
      <c r="G355" s="149"/>
      <c r="H355" s="22"/>
      <c r="I355" s="22"/>
    </row>
    <row x14ac:dyDescent="0.25" r="356" customHeight="1" ht="17.25">
      <c r="A356" s="3"/>
      <c r="B356" s="22"/>
      <c r="C356" s="150"/>
      <c r="D356" s="151"/>
      <c r="E356" s="151"/>
      <c r="F356" s="150"/>
      <c r="G356" s="149"/>
      <c r="H356" s="22"/>
      <c r="I356" s="22"/>
    </row>
    <row x14ac:dyDescent="0.25" r="357" customHeight="1" ht="17.25">
      <c r="A357" s="3"/>
      <c r="B357" s="22"/>
      <c r="C357" s="150"/>
      <c r="D357" s="151"/>
      <c r="E357" s="151"/>
      <c r="F357" s="150"/>
      <c r="G357" s="149"/>
      <c r="H357" s="22"/>
      <c r="I357" s="22"/>
    </row>
    <row x14ac:dyDescent="0.25" r="358" customHeight="1" ht="17.25">
      <c r="A358" s="3"/>
      <c r="B358" s="22"/>
      <c r="C358" s="150"/>
      <c r="D358" s="151"/>
      <c r="E358" s="151"/>
      <c r="F358" s="150"/>
      <c r="G358" s="149"/>
      <c r="H358" s="22"/>
      <c r="I358" s="22"/>
    </row>
    <row x14ac:dyDescent="0.25" r="359" customHeight="1" ht="17.25">
      <c r="A359" s="3"/>
      <c r="B359" s="22"/>
      <c r="C359" s="150"/>
      <c r="D359" s="151"/>
      <c r="E359" s="151"/>
      <c r="F359" s="150"/>
      <c r="G359" s="149"/>
      <c r="H359" s="22"/>
      <c r="I359" s="22"/>
    </row>
    <row x14ac:dyDescent="0.25" r="360" customHeight="1" ht="17.25">
      <c r="A360" s="3"/>
      <c r="B360" s="22"/>
      <c r="C360" s="150"/>
      <c r="D360" s="151"/>
      <c r="E360" s="151"/>
      <c r="F360" s="150"/>
      <c r="G360" s="149"/>
      <c r="H360" s="22"/>
      <c r="I360" s="22"/>
    </row>
    <row x14ac:dyDescent="0.25" r="361" customHeight="1" ht="17.25">
      <c r="A361" s="3"/>
      <c r="B361" s="22"/>
      <c r="C361" s="150"/>
      <c r="D361" s="151"/>
      <c r="E361" s="151"/>
      <c r="F361" s="150"/>
      <c r="G361" s="149"/>
      <c r="H361" s="22"/>
      <c r="I361" s="22"/>
    </row>
    <row x14ac:dyDescent="0.25" r="362" customHeight="1" ht="17.25">
      <c r="A362" s="3"/>
      <c r="B362" s="22"/>
      <c r="C362" s="150"/>
      <c r="D362" s="151"/>
      <c r="E362" s="151"/>
      <c r="F362" s="150"/>
      <c r="G362" s="149"/>
      <c r="H362" s="22"/>
      <c r="I362" s="22"/>
    </row>
    <row x14ac:dyDescent="0.25" r="363" customHeight="1" ht="17.25">
      <c r="A363" s="3"/>
      <c r="B363" s="22"/>
      <c r="C363" s="150"/>
      <c r="D363" s="151"/>
      <c r="E363" s="151"/>
      <c r="F363" s="150"/>
      <c r="G363" s="149"/>
      <c r="H363" s="22"/>
      <c r="I363" s="22"/>
    </row>
    <row x14ac:dyDescent="0.25" r="364" customHeight="1" ht="17.25">
      <c r="A364" s="3"/>
      <c r="B364" s="22"/>
      <c r="C364" s="150"/>
      <c r="D364" s="151"/>
      <c r="E364" s="151"/>
      <c r="F364" s="150"/>
      <c r="G364" s="149"/>
      <c r="H364" s="22"/>
      <c r="I364" s="22"/>
    </row>
    <row x14ac:dyDescent="0.25" r="365" customHeight="1" ht="17.25">
      <c r="A365" s="3"/>
      <c r="B365" s="22"/>
      <c r="C365" s="150"/>
      <c r="D365" s="151"/>
      <c r="E365" s="151"/>
      <c r="F365" s="150"/>
      <c r="G365" s="149"/>
      <c r="H365" s="22"/>
      <c r="I365" s="22"/>
    </row>
    <row x14ac:dyDescent="0.25" r="366" customHeight="1" ht="17.25">
      <c r="A366" s="3"/>
      <c r="B366" s="22"/>
      <c r="C366" s="150"/>
      <c r="D366" s="151"/>
      <c r="E366" s="151"/>
      <c r="F366" s="150"/>
      <c r="G366" s="149"/>
      <c r="H366" s="22"/>
      <c r="I366" s="22"/>
    </row>
    <row x14ac:dyDescent="0.25" r="367" customHeight="1" ht="17.25">
      <c r="A367" s="3"/>
      <c r="B367" s="22"/>
      <c r="C367" s="150"/>
      <c r="D367" s="151"/>
      <c r="E367" s="151"/>
      <c r="F367" s="150"/>
      <c r="G367" s="149"/>
      <c r="H367" s="22"/>
      <c r="I367" s="22"/>
    </row>
    <row x14ac:dyDescent="0.25" r="368" customHeight="1" ht="17.25">
      <c r="A368" s="3"/>
      <c r="B368" s="22"/>
      <c r="C368" s="150"/>
      <c r="D368" s="151"/>
      <c r="E368" s="151"/>
      <c r="F368" s="150"/>
      <c r="G368" s="149"/>
      <c r="H368" s="22"/>
      <c r="I368" s="22"/>
    </row>
    <row x14ac:dyDescent="0.25" r="369" customHeight="1" ht="17.25">
      <c r="A369" s="3"/>
      <c r="B369" s="22"/>
      <c r="C369" s="150"/>
      <c r="D369" s="151"/>
      <c r="E369" s="151"/>
      <c r="F369" s="150"/>
      <c r="G369" s="149"/>
      <c r="H369" s="22"/>
      <c r="I369" s="22"/>
    </row>
    <row x14ac:dyDescent="0.25" r="370" customHeight="1" ht="17.25">
      <c r="A370" s="3"/>
      <c r="B370" s="22"/>
      <c r="C370" s="150"/>
      <c r="D370" s="151"/>
      <c r="E370" s="151"/>
      <c r="F370" s="150"/>
      <c r="G370" s="149"/>
      <c r="H370" s="22"/>
      <c r="I370" s="22"/>
    </row>
    <row x14ac:dyDescent="0.25" r="371" customHeight="1" ht="17.25">
      <c r="A371" s="3"/>
      <c r="B371" s="22"/>
      <c r="C371" s="150"/>
      <c r="D371" s="151"/>
      <c r="E371" s="151"/>
      <c r="F371" s="150"/>
      <c r="G371" s="149"/>
      <c r="H371" s="22"/>
      <c r="I371" s="22"/>
    </row>
    <row x14ac:dyDescent="0.25" r="372" customHeight="1" ht="17.25">
      <c r="A372" s="3"/>
      <c r="B372" s="22"/>
      <c r="C372" s="150"/>
      <c r="D372" s="151"/>
      <c r="E372" s="151"/>
      <c r="F372" s="150"/>
      <c r="G372" s="149"/>
      <c r="H372" s="22"/>
      <c r="I372" s="22"/>
    </row>
    <row x14ac:dyDescent="0.25" r="373" customHeight="1" ht="17.25">
      <c r="A373" s="3"/>
      <c r="B373" s="22"/>
      <c r="C373" s="150"/>
      <c r="D373" s="151"/>
      <c r="E373" s="151"/>
      <c r="F373" s="150"/>
      <c r="G373" s="149"/>
      <c r="H373" s="22"/>
      <c r="I373" s="22"/>
    </row>
    <row x14ac:dyDescent="0.25" r="374" customHeight="1" ht="17.25">
      <c r="A374" s="3"/>
      <c r="B374" s="22"/>
      <c r="C374" s="150"/>
      <c r="D374" s="151"/>
      <c r="E374" s="151"/>
      <c r="F374" s="150"/>
      <c r="G374" s="149"/>
      <c r="H374" s="22"/>
      <c r="I374" s="22"/>
    </row>
    <row x14ac:dyDescent="0.25" r="375" customHeight="1" ht="17.25">
      <c r="A375" s="3"/>
      <c r="B375" s="22"/>
      <c r="C375" s="150"/>
      <c r="D375" s="151"/>
      <c r="E375" s="151"/>
      <c r="F375" s="150"/>
      <c r="G375" s="149"/>
      <c r="H375" s="22"/>
      <c r="I375" s="22"/>
    </row>
    <row x14ac:dyDescent="0.25" r="376" customHeight="1" ht="17.25">
      <c r="A376" s="3"/>
      <c r="B376" s="22"/>
      <c r="C376" s="150"/>
      <c r="D376" s="151"/>
      <c r="E376" s="151"/>
      <c r="F376" s="150"/>
      <c r="G376" s="149"/>
      <c r="H376" s="22"/>
      <c r="I376" s="22"/>
    </row>
    <row x14ac:dyDescent="0.25" r="377" customHeight="1" ht="17.25">
      <c r="A377" s="3"/>
      <c r="B377" s="22"/>
      <c r="C377" s="150"/>
      <c r="D377" s="151"/>
      <c r="E377" s="151"/>
      <c r="F377" s="150"/>
      <c r="G377" s="149"/>
      <c r="H377" s="22"/>
      <c r="I377" s="22"/>
    </row>
    <row x14ac:dyDescent="0.25" r="378" customHeight="1" ht="17.25">
      <c r="A378" s="3"/>
      <c r="B378" s="22"/>
      <c r="C378" s="150"/>
      <c r="D378" s="151"/>
      <c r="E378" s="151"/>
      <c r="F378" s="150"/>
      <c r="G378" s="149"/>
      <c r="H378" s="22"/>
      <c r="I378" s="22"/>
    </row>
    <row x14ac:dyDescent="0.25" r="379" customHeight="1" ht="17.25">
      <c r="A379" s="3"/>
      <c r="B379" s="22"/>
      <c r="C379" s="150"/>
      <c r="D379" s="151"/>
      <c r="E379" s="151"/>
      <c r="F379" s="150"/>
      <c r="G379" s="149"/>
      <c r="H379" s="22"/>
      <c r="I379" s="22"/>
    </row>
    <row x14ac:dyDescent="0.25" r="380" customHeight="1" ht="17.25">
      <c r="A380" s="3"/>
      <c r="B380" s="22"/>
      <c r="C380" s="150"/>
      <c r="D380" s="151"/>
      <c r="E380" s="151"/>
      <c r="F380" s="150"/>
      <c r="G380" s="149"/>
      <c r="H380" s="22"/>
      <c r="I380" s="22"/>
    </row>
    <row x14ac:dyDescent="0.25" r="381" customHeight="1" ht="17.25">
      <c r="A381" s="3"/>
      <c r="B381" s="22"/>
      <c r="C381" s="150"/>
      <c r="D381" s="151"/>
      <c r="E381" s="151"/>
      <c r="F381" s="150"/>
      <c r="G381" s="149"/>
      <c r="H381" s="22"/>
      <c r="I381" s="22"/>
    </row>
    <row x14ac:dyDescent="0.25" r="382" customHeight="1" ht="17.25">
      <c r="A382" s="3"/>
      <c r="B382" s="22"/>
      <c r="C382" s="150"/>
      <c r="D382" s="151"/>
      <c r="E382" s="151"/>
      <c r="F382" s="150"/>
      <c r="G382" s="149"/>
      <c r="H382" s="22"/>
      <c r="I382" s="22"/>
    </row>
    <row x14ac:dyDescent="0.25" r="383" customHeight="1" ht="17.25">
      <c r="A383" s="3"/>
      <c r="B383" s="22"/>
      <c r="C383" s="150"/>
      <c r="D383" s="151"/>
      <c r="E383" s="151"/>
      <c r="F383" s="150"/>
      <c r="G383" s="149"/>
      <c r="H383" s="22"/>
      <c r="I383" s="22"/>
    </row>
    <row x14ac:dyDescent="0.25" r="384" customHeight="1" ht="17.25">
      <c r="A384" s="3"/>
      <c r="B384" s="22"/>
      <c r="C384" s="150"/>
      <c r="D384" s="151"/>
      <c r="E384" s="151"/>
      <c r="F384" s="150"/>
      <c r="G384" s="149"/>
      <c r="H384" s="22"/>
      <c r="I384" s="22"/>
    </row>
    <row x14ac:dyDescent="0.25" r="385" customHeight="1" ht="17.25">
      <c r="A385" s="3"/>
      <c r="B385" s="22"/>
      <c r="C385" s="150"/>
      <c r="D385" s="151"/>
      <c r="E385" s="151"/>
      <c r="F385" s="150"/>
      <c r="G385" s="149"/>
      <c r="H385" s="22"/>
      <c r="I385" s="22"/>
    </row>
    <row x14ac:dyDescent="0.25" r="386" customHeight="1" ht="17.25">
      <c r="A386" s="3"/>
      <c r="B386" s="22"/>
      <c r="C386" s="150"/>
      <c r="D386" s="151"/>
      <c r="E386" s="151"/>
      <c r="F386" s="150"/>
      <c r="G386" s="149"/>
      <c r="H386" s="22"/>
      <c r="I386" s="22"/>
    </row>
    <row x14ac:dyDescent="0.25" r="387" customHeight="1" ht="17.25">
      <c r="A387" s="3"/>
      <c r="B387" s="22"/>
      <c r="C387" s="150"/>
      <c r="D387" s="151"/>
      <c r="E387" s="151"/>
      <c r="F387" s="150"/>
      <c r="G387" s="149"/>
      <c r="H387" s="22"/>
      <c r="I387" s="22"/>
    </row>
    <row x14ac:dyDescent="0.25" r="388" customHeight="1" ht="17.25">
      <c r="A388" s="3"/>
      <c r="B388" s="22"/>
      <c r="C388" s="150"/>
      <c r="D388" s="151"/>
      <c r="E388" s="151"/>
      <c r="F388" s="150"/>
      <c r="G388" s="149"/>
      <c r="H388" s="22"/>
      <c r="I388" s="22"/>
    </row>
    <row x14ac:dyDescent="0.25" r="389" customHeight="1" ht="17.25">
      <c r="A389" s="3"/>
      <c r="B389" s="22"/>
      <c r="C389" s="150"/>
      <c r="D389" s="151"/>
      <c r="E389" s="151"/>
      <c r="F389" s="150"/>
      <c r="G389" s="149"/>
      <c r="H389" s="22"/>
      <c r="I389" s="22"/>
    </row>
    <row x14ac:dyDescent="0.25" r="390" customHeight="1" ht="17.25">
      <c r="A390" s="3"/>
      <c r="B390" s="22"/>
      <c r="C390" s="150"/>
      <c r="D390" s="151"/>
      <c r="E390" s="151"/>
      <c r="F390" s="150"/>
      <c r="G390" s="149"/>
      <c r="H390" s="22"/>
      <c r="I390" s="22"/>
    </row>
    <row x14ac:dyDescent="0.25" r="391" customHeight="1" ht="17.25">
      <c r="A391" s="3"/>
      <c r="B391" s="22"/>
      <c r="C391" s="150"/>
      <c r="D391" s="151"/>
      <c r="E391" s="151"/>
      <c r="F391" s="150"/>
      <c r="G391" s="149"/>
      <c r="H391" s="22"/>
      <c r="I391" s="22"/>
    </row>
    <row x14ac:dyDescent="0.25" r="392" customHeight="1" ht="17.25">
      <c r="A392" s="3"/>
      <c r="B392" s="22"/>
      <c r="C392" s="150"/>
      <c r="D392" s="151"/>
      <c r="E392" s="151"/>
      <c r="F392" s="150"/>
      <c r="G392" s="149"/>
      <c r="H392" s="22"/>
      <c r="I392" s="22"/>
    </row>
    <row x14ac:dyDescent="0.25" r="393" customHeight="1" ht="17.25">
      <c r="A393" s="3"/>
      <c r="B393" s="22"/>
      <c r="C393" s="150"/>
      <c r="D393" s="151"/>
      <c r="E393" s="151"/>
      <c r="F393" s="150"/>
      <c r="G393" s="149"/>
      <c r="H393" s="22"/>
      <c r="I393" s="22"/>
    </row>
    <row x14ac:dyDescent="0.25" r="394" customHeight="1" ht="17.25">
      <c r="A394" s="3"/>
      <c r="B394" s="22"/>
      <c r="C394" s="150"/>
      <c r="D394" s="151"/>
      <c r="E394" s="151"/>
      <c r="F394" s="150"/>
      <c r="G394" s="149"/>
      <c r="H394" s="22"/>
      <c r="I394" s="22"/>
    </row>
    <row x14ac:dyDescent="0.25" r="395" customHeight="1" ht="17.25">
      <c r="A395" s="3"/>
      <c r="B395" s="22"/>
      <c r="C395" s="150"/>
      <c r="D395" s="151"/>
      <c r="E395" s="151"/>
      <c r="F395" s="150"/>
      <c r="G395" s="149"/>
      <c r="H395" s="22"/>
      <c r="I395" s="22"/>
    </row>
    <row x14ac:dyDescent="0.25" r="396" customHeight="1" ht="17.25">
      <c r="A396" s="3"/>
      <c r="B396" s="22"/>
      <c r="C396" s="150"/>
      <c r="D396" s="151"/>
      <c r="E396" s="151"/>
      <c r="F396" s="150"/>
      <c r="G396" s="149"/>
      <c r="H396" s="22"/>
      <c r="I396" s="22"/>
    </row>
    <row x14ac:dyDescent="0.25" r="397" customHeight="1" ht="17.25">
      <c r="A397" s="3"/>
      <c r="B397" s="22"/>
      <c r="C397" s="150"/>
      <c r="D397" s="151"/>
      <c r="E397" s="151"/>
      <c r="F397" s="150"/>
      <c r="G397" s="149"/>
      <c r="H397" s="22"/>
      <c r="I397" s="22"/>
    </row>
    <row x14ac:dyDescent="0.25" r="398" customHeight="1" ht="17.25">
      <c r="A398" s="3"/>
      <c r="B398" s="22"/>
      <c r="C398" s="150"/>
      <c r="D398" s="151"/>
      <c r="E398" s="151"/>
      <c r="F398" s="150"/>
      <c r="G398" s="149"/>
      <c r="H398" s="22"/>
      <c r="I398" s="22"/>
    </row>
    <row x14ac:dyDescent="0.25" r="399" customHeight="1" ht="17.25">
      <c r="A399" s="3"/>
      <c r="B399" s="22"/>
      <c r="C399" s="150"/>
      <c r="D399" s="151"/>
      <c r="E399" s="151"/>
      <c r="F399" s="150"/>
      <c r="G399" s="149"/>
      <c r="H399" s="22"/>
      <c r="I399" s="22"/>
    </row>
    <row x14ac:dyDescent="0.25" r="400" customHeight="1" ht="17.25">
      <c r="A400" s="3"/>
      <c r="B400" s="22"/>
      <c r="C400" s="150"/>
      <c r="D400" s="151"/>
      <c r="E400" s="151"/>
      <c r="F400" s="150"/>
      <c r="G400" s="149"/>
      <c r="H400" s="22"/>
      <c r="I400" s="22"/>
    </row>
    <row x14ac:dyDescent="0.25" r="401" customHeight="1" ht="17.25">
      <c r="A401" s="3"/>
      <c r="B401" s="22"/>
      <c r="C401" s="150"/>
      <c r="D401" s="151"/>
      <c r="E401" s="151"/>
      <c r="F401" s="150"/>
      <c r="G401" s="149"/>
      <c r="H401" s="22"/>
      <c r="I401" s="22"/>
    </row>
    <row x14ac:dyDescent="0.25" r="402" customHeight="1" ht="17.25">
      <c r="A402" s="3"/>
      <c r="B402" s="22"/>
      <c r="C402" s="150"/>
      <c r="D402" s="151"/>
      <c r="E402" s="151"/>
      <c r="F402" s="150"/>
      <c r="G402" s="149"/>
      <c r="H402" s="22"/>
      <c r="I402" s="22"/>
    </row>
    <row x14ac:dyDescent="0.25" r="403" customHeight="1" ht="17.25">
      <c r="A403" s="3"/>
      <c r="B403" s="22"/>
      <c r="C403" s="150"/>
      <c r="D403" s="151"/>
      <c r="E403" s="151"/>
      <c r="F403" s="150"/>
      <c r="G403" s="149"/>
      <c r="H403" s="22"/>
      <c r="I403" s="22"/>
    </row>
    <row x14ac:dyDescent="0.25" r="404" customHeight="1" ht="17.25">
      <c r="A404" s="3"/>
      <c r="B404" s="22"/>
      <c r="C404" s="150"/>
      <c r="D404" s="151"/>
      <c r="E404" s="151"/>
      <c r="F404" s="150"/>
      <c r="G404" s="149"/>
      <c r="H404" s="22"/>
      <c r="I404" s="22"/>
    </row>
    <row x14ac:dyDescent="0.25" r="405" customHeight="1" ht="17.25">
      <c r="A405" s="3"/>
      <c r="B405" s="22"/>
      <c r="C405" s="150"/>
      <c r="D405" s="151"/>
      <c r="E405" s="151"/>
      <c r="F405" s="150"/>
      <c r="G405" s="149"/>
      <c r="H405" s="22"/>
      <c r="I405" s="22"/>
    </row>
    <row x14ac:dyDescent="0.25" r="406" customHeight="1" ht="17.25">
      <c r="A406" s="3"/>
      <c r="B406" s="22"/>
      <c r="C406" s="150"/>
      <c r="D406" s="151"/>
      <c r="E406" s="151"/>
      <c r="F406" s="150"/>
      <c r="G406" s="149"/>
      <c r="H406" s="22"/>
      <c r="I406" s="22"/>
    </row>
    <row x14ac:dyDescent="0.25" r="407" customHeight="1" ht="17.25">
      <c r="A407" s="3"/>
      <c r="B407" s="22"/>
      <c r="C407" s="150"/>
      <c r="D407" s="151"/>
      <c r="E407" s="151"/>
      <c r="F407" s="150"/>
      <c r="G407" s="149"/>
      <c r="H407" s="22"/>
      <c r="I407" s="22"/>
    </row>
    <row x14ac:dyDescent="0.25" r="408" customHeight="1" ht="17.25">
      <c r="A408" s="3"/>
      <c r="B408" s="22"/>
      <c r="C408" s="150"/>
      <c r="D408" s="151"/>
      <c r="E408" s="151"/>
      <c r="F408" s="150"/>
      <c r="G408" s="149"/>
      <c r="H408" s="22"/>
      <c r="I408" s="22"/>
    </row>
    <row x14ac:dyDescent="0.25" r="409" customHeight="1" ht="17.25">
      <c r="A409" s="3"/>
      <c r="B409" s="22"/>
      <c r="C409" s="150"/>
      <c r="D409" s="151"/>
      <c r="E409" s="151"/>
      <c r="F409" s="150"/>
      <c r="G409" s="149"/>
      <c r="H409" s="22"/>
      <c r="I409" s="22"/>
    </row>
    <row x14ac:dyDescent="0.25" r="410" customHeight="1" ht="17.25">
      <c r="A410" s="3"/>
      <c r="B410" s="22"/>
      <c r="C410" s="150"/>
      <c r="D410" s="151"/>
      <c r="E410" s="151"/>
      <c r="F410" s="150"/>
      <c r="G410" s="149"/>
      <c r="H410" s="22"/>
      <c r="I410" s="22"/>
    </row>
    <row x14ac:dyDescent="0.25" r="411" customHeight="1" ht="17.25">
      <c r="A411" s="3"/>
      <c r="B411" s="22"/>
      <c r="C411" s="150"/>
      <c r="D411" s="151"/>
      <c r="E411" s="151"/>
      <c r="F411" s="150"/>
      <c r="G411" s="149"/>
      <c r="H411" s="22"/>
      <c r="I411" s="22"/>
    </row>
    <row x14ac:dyDescent="0.25" r="412" customHeight="1" ht="17.25">
      <c r="A412" s="3"/>
      <c r="B412" s="22"/>
      <c r="C412" s="150"/>
      <c r="D412" s="151"/>
      <c r="E412" s="151"/>
      <c r="F412" s="150"/>
      <c r="G412" s="149"/>
      <c r="H412" s="22"/>
      <c r="I412" s="22"/>
    </row>
    <row x14ac:dyDescent="0.25" r="413" customHeight="1" ht="17.25">
      <c r="A413" s="3"/>
      <c r="B413" s="22"/>
      <c r="C413" s="150"/>
      <c r="D413" s="151"/>
      <c r="E413" s="151"/>
      <c r="F413" s="150"/>
      <c r="G413" s="149"/>
      <c r="H413" s="22"/>
      <c r="I413" s="22"/>
    </row>
    <row x14ac:dyDescent="0.25" r="414" customHeight="1" ht="17.25">
      <c r="A414" s="3"/>
      <c r="B414" s="22"/>
      <c r="C414" s="150"/>
      <c r="D414" s="151"/>
      <c r="E414" s="151"/>
      <c r="F414" s="150"/>
      <c r="G414" s="149"/>
      <c r="H414" s="22"/>
      <c r="I414" s="22"/>
    </row>
    <row x14ac:dyDescent="0.25" r="415" customHeight="1" ht="17.25">
      <c r="A415" s="3"/>
      <c r="B415" s="22"/>
      <c r="C415" s="150"/>
      <c r="D415" s="151"/>
      <c r="E415" s="151"/>
      <c r="F415" s="150"/>
      <c r="G415" s="149"/>
      <c r="H415" s="22"/>
      <c r="I415" s="22"/>
    </row>
    <row x14ac:dyDescent="0.25" r="416" customHeight="1" ht="17.25">
      <c r="A416" s="3"/>
      <c r="B416" s="22"/>
      <c r="C416" s="150"/>
      <c r="D416" s="151"/>
      <c r="E416" s="151"/>
      <c r="F416" s="150"/>
      <c r="G416" s="149"/>
      <c r="H416" s="22"/>
      <c r="I416" s="22"/>
    </row>
    <row x14ac:dyDescent="0.25" r="417" customHeight="1" ht="17.25">
      <c r="A417" s="3"/>
      <c r="B417" s="22"/>
      <c r="C417" s="150"/>
      <c r="D417" s="151"/>
      <c r="E417" s="151"/>
      <c r="F417" s="150"/>
      <c r="G417" s="149"/>
      <c r="H417" s="22"/>
      <c r="I417" s="22"/>
    </row>
    <row x14ac:dyDescent="0.25" r="418" customHeight="1" ht="17.25">
      <c r="A418" s="3"/>
      <c r="B418" s="22"/>
      <c r="C418" s="150"/>
      <c r="D418" s="151"/>
      <c r="E418" s="151"/>
      <c r="F418" s="150"/>
      <c r="G418" s="149"/>
      <c r="H418" s="22"/>
      <c r="I418" s="22"/>
    </row>
    <row x14ac:dyDescent="0.25" r="419" customHeight="1" ht="17.25">
      <c r="A419" s="3"/>
      <c r="B419" s="22"/>
      <c r="C419" s="150"/>
      <c r="D419" s="151"/>
      <c r="E419" s="151"/>
      <c r="F419" s="150"/>
      <c r="G419" s="149"/>
      <c r="H419" s="22"/>
      <c r="I419" s="22"/>
    </row>
    <row x14ac:dyDescent="0.25" r="420" customHeight="1" ht="17.25">
      <c r="A420" s="3"/>
      <c r="B420" s="22"/>
      <c r="C420" s="150"/>
      <c r="D420" s="151"/>
      <c r="E420" s="151"/>
      <c r="F420" s="150"/>
      <c r="G420" s="149"/>
      <c r="H420" s="22"/>
      <c r="I420" s="22"/>
    </row>
    <row x14ac:dyDescent="0.25" r="421" customHeight="1" ht="17.25">
      <c r="A421" s="3"/>
      <c r="B421" s="22"/>
      <c r="C421" s="150"/>
      <c r="D421" s="151"/>
      <c r="E421" s="151"/>
      <c r="F421" s="150"/>
      <c r="G421" s="149"/>
      <c r="H421" s="22"/>
      <c r="I421" s="22"/>
    </row>
    <row x14ac:dyDescent="0.25" r="422" customHeight="1" ht="17.25">
      <c r="A422" s="3"/>
      <c r="B422" s="22"/>
      <c r="C422" s="150"/>
      <c r="D422" s="151"/>
      <c r="E422" s="151"/>
      <c r="F422" s="150"/>
      <c r="G422" s="149"/>
      <c r="H422" s="22"/>
      <c r="I422" s="22"/>
    </row>
    <row x14ac:dyDescent="0.25" r="423" customHeight="1" ht="17.25">
      <c r="A423" s="3"/>
      <c r="B423" s="22"/>
      <c r="C423" s="150"/>
      <c r="D423" s="151"/>
      <c r="E423" s="151"/>
      <c r="F423" s="150"/>
      <c r="G423" s="149"/>
      <c r="H423" s="22"/>
      <c r="I423" s="22"/>
    </row>
    <row x14ac:dyDescent="0.25" r="424" customHeight="1" ht="17.25">
      <c r="A424" s="3"/>
      <c r="B424" s="22"/>
      <c r="C424" s="150"/>
      <c r="D424" s="151"/>
      <c r="E424" s="151"/>
      <c r="F424" s="150"/>
      <c r="G424" s="149"/>
      <c r="H424" s="22"/>
      <c r="I424" s="22"/>
    </row>
    <row x14ac:dyDescent="0.25" r="425" customHeight="1" ht="17.25">
      <c r="A425" s="3"/>
      <c r="B425" s="22"/>
      <c r="C425" s="150"/>
      <c r="D425" s="151"/>
      <c r="E425" s="151"/>
      <c r="F425" s="150"/>
      <c r="G425" s="149"/>
      <c r="H425" s="22"/>
      <c r="I425" s="22"/>
    </row>
    <row x14ac:dyDescent="0.25" r="426" customHeight="1" ht="17.25">
      <c r="A426" s="3"/>
      <c r="B426" s="22"/>
      <c r="C426" s="150"/>
      <c r="D426" s="151"/>
      <c r="E426" s="151"/>
      <c r="F426" s="150"/>
      <c r="G426" s="149"/>
      <c r="H426" s="22"/>
      <c r="I426" s="22"/>
    </row>
    <row x14ac:dyDescent="0.25" r="427" customHeight="1" ht="17.25">
      <c r="A427" s="3"/>
      <c r="B427" s="22"/>
      <c r="C427" s="150"/>
      <c r="D427" s="151"/>
      <c r="E427" s="151"/>
      <c r="F427" s="150"/>
      <c r="G427" s="149"/>
      <c r="H427" s="22"/>
      <c r="I427" s="22"/>
    </row>
    <row x14ac:dyDescent="0.25" r="428" customHeight="1" ht="17.25">
      <c r="A428" s="3"/>
      <c r="B428" s="22"/>
      <c r="C428" s="150"/>
      <c r="D428" s="151"/>
      <c r="E428" s="151"/>
      <c r="F428" s="150"/>
      <c r="G428" s="149"/>
      <c r="H428" s="22"/>
      <c r="I428" s="22"/>
    </row>
    <row x14ac:dyDescent="0.25" r="429" customHeight="1" ht="17.25">
      <c r="A429" s="3"/>
      <c r="B429" s="22"/>
      <c r="C429" s="150"/>
      <c r="D429" s="151"/>
      <c r="E429" s="151"/>
      <c r="F429" s="150"/>
      <c r="G429" s="149"/>
      <c r="H429" s="22"/>
      <c r="I429" s="22"/>
    </row>
    <row x14ac:dyDescent="0.25" r="430" customHeight="1" ht="17.25">
      <c r="A430" s="3"/>
      <c r="B430" s="22"/>
      <c r="C430" s="150"/>
      <c r="D430" s="151"/>
      <c r="E430" s="151"/>
      <c r="F430" s="150"/>
      <c r="G430" s="149"/>
      <c r="H430" s="22"/>
      <c r="I430" s="22"/>
    </row>
    <row x14ac:dyDescent="0.25" r="431" customHeight="1" ht="17.25">
      <c r="A431" s="3"/>
      <c r="B431" s="22"/>
      <c r="C431" s="150"/>
      <c r="D431" s="151"/>
      <c r="E431" s="151"/>
      <c r="F431" s="150"/>
      <c r="G431" s="149"/>
      <c r="H431" s="22"/>
      <c r="I431" s="22"/>
    </row>
    <row x14ac:dyDescent="0.25" r="432" customHeight="1" ht="17.25">
      <c r="A432" s="3"/>
      <c r="B432" s="22"/>
      <c r="C432" s="150"/>
      <c r="D432" s="151"/>
      <c r="E432" s="151"/>
      <c r="F432" s="150"/>
      <c r="G432" s="149"/>
      <c r="H432" s="22"/>
      <c r="I432" s="22"/>
    </row>
    <row x14ac:dyDescent="0.25" r="433" customHeight="1" ht="17.25">
      <c r="A433" s="3"/>
      <c r="B433" s="22"/>
      <c r="C433" s="150"/>
      <c r="D433" s="151"/>
      <c r="E433" s="151"/>
      <c r="F433" s="150"/>
      <c r="G433" s="149"/>
      <c r="H433" s="22"/>
      <c r="I433" s="22"/>
    </row>
    <row x14ac:dyDescent="0.25" r="434" customHeight="1" ht="17.25">
      <c r="A434" s="3"/>
      <c r="B434" s="22"/>
      <c r="C434" s="150"/>
      <c r="D434" s="151"/>
      <c r="E434" s="151"/>
      <c r="F434" s="150"/>
      <c r="G434" s="149"/>
      <c r="H434" s="22"/>
      <c r="I434" s="22"/>
    </row>
    <row x14ac:dyDescent="0.25" r="435" customHeight="1" ht="17.25">
      <c r="A435" s="3"/>
      <c r="B435" s="22"/>
      <c r="C435" s="150"/>
      <c r="D435" s="151"/>
      <c r="E435" s="151"/>
      <c r="F435" s="150"/>
      <c r="G435" s="149"/>
      <c r="H435" s="22"/>
      <c r="I435" s="22"/>
    </row>
    <row x14ac:dyDescent="0.25" r="436" customHeight="1" ht="17.25">
      <c r="A436" s="3"/>
      <c r="B436" s="22"/>
      <c r="C436" s="150"/>
      <c r="D436" s="151"/>
      <c r="E436" s="151"/>
      <c r="F436" s="150"/>
      <c r="G436" s="149"/>
      <c r="H436" s="22"/>
      <c r="I436" s="22"/>
    </row>
    <row x14ac:dyDescent="0.25" r="437" customHeight="1" ht="17.25">
      <c r="A437" s="3"/>
      <c r="B437" s="22"/>
      <c r="C437" s="150"/>
      <c r="D437" s="151"/>
      <c r="E437" s="151"/>
      <c r="F437" s="150"/>
      <c r="G437" s="149"/>
      <c r="H437" s="22"/>
      <c r="I437" s="22"/>
    </row>
    <row x14ac:dyDescent="0.25" r="438" customHeight="1" ht="17.25">
      <c r="A438" s="3"/>
      <c r="B438" s="22"/>
      <c r="C438" s="150"/>
      <c r="D438" s="151"/>
      <c r="E438" s="151"/>
      <c r="F438" s="150"/>
      <c r="G438" s="149"/>
      <c r="H438" s="22"/>
      <c r="I438" s="22"/>
    </row>
    <row x14ac:dyDescent="0.25" r="439" customHeight="1" ht="17.25">
      <c r="A439" s="3"/>
      <c r="B439" s="22"/>
      <c r="C439" s="150"/>
      <c r="D439" s="151"/>
      <c r="E439" s="151"/>
      <c r="F439" s="150"/>
      <c r="G439" s="149"/>
      <c r="H439" s="22"/>
      <c r="I439" s="22"/>
    </row>
    <row x14ac:dyDescent="0.25" r="440" customHeight="1" ht="17.25">
      <c r="A440" s="3"/>
      <c r="B440" s="22"/>
      <c r="C440" s="150"/>
      <c r="D440" s="151"/>
      <c r="E440" s="151"/>
      <c r="F440" s="150"/>
      <c r="G440" s="149"/>
      <c r="H440" s="22"/>
      <c r="I440" s="22"/>
    </row>
    <row x14ac:dyDescent="0.25" r="441" customHeight="1" ht="17.25">
      <c r="A441" s="3"/>
      <c r="B441" s="22"/>
      <c r="C441" s="150"/>
      <c r="D441" s="151"/>
      <c r="E441" s="151"/>
      <c r="F441" s="150"/>
      <c r="G441" s="149"/>
      <c r="H441" s="22"/>
      <c r="I441" s="22"/>
    </row>
    <row x14ac:dyDescent="0.25" r="442" customHeight="1" ht="17.25">
      <c r="A442" s="3"/>
      <c r="B442" s="22"/>
      <c r="C442" s="150"/>
      <c r="D442" s="151"/>
      <c r="E442" s="151"/>
      <c r="F442" s="150"/>
      <c r="G442" s="149"/>
      <c r="H442" s="22"/>
      <c r="I442" s="22"/>
    </row>
    <row x14ac:dyDescent="0.25" r="443" customHeight="1" ht="17.25">
      <c r="A443" s="3"/>
      <c r="B443" s="22"/>
      <c r="C443" s="150"/>
      <c r="D443" s="151"/>
      <c r="E443" s="151"/>
      <c r="F443" s="150"/>
      <c r="G443" s="149"/>
      <c r="H443" s="22"/>
      <c r="I443" s="22"/>
    </row>
    <row x14ac:dyDescent="0.25" r="444" customHeight="1" ht="17.25">
      <c r="A444" s="3"/>
      <c r="B444" s="22"/>
      <c r="C444" s="150"/>
      <c r="D444" s="151"/>
      <c r="E444" s="151"/>
      <c r="F444" s="150"/>
      <c r="G444" s="149"/>
      <c r="H444" s="22"/>
      <c r="I444" s="22"/>
    </row>
    <row x14ac:dyDescent="0.25" r="445" customHeight="1" ht="17.25">
      <c r="A445" s="3"/>
      <c r="B445" s="22"/>
      <c r="C445" s="150"/>
      <c r="D445" s="151"/>
      <c r="E445" s="151"/>
      <c r="F445" s="150"/>
      <c r="G445" s="149"/>
      <c r="H445" s="22"/>
      <c r="I445" s="22"/>
    </row>
    <row x14ac:dyDescent="0.25" r="446" customHeight="1" ht="17.25">
      <c r="A446" s="3"/>
      <c r="B446" s="22"/>
      <c r="C446" s="150"/>
      <c r="D446" s="151"/>
      <c r="E446" s="151"/>
      <c r="F446" s="150"/>
      <c r="G446" s="149"/>
      <c r="H446" s="22"/>
      <c r="I446" s="22"/>
    </row>
    <row x14ac:dyDescent="0.25" r="447" customHeight="1" ht="17.25">
      <c r="A447" s="3"/>
      <c r="B447" s="22"/>
      <c r="C447" s="150"/>
      <c r="D447" s="151"/>
      <c r="E447" s="151"/>
      <c r="F447" s="150"/>
      <c r="G447" s="149"/>
      <c r="H447" s="22"/>
      <c r="I447" s="22"/>
    </row>
    <row x14ac:dyDescent="0.25" r="448" customHeight="1" ht="17.25">
      <c r="A448" s="3"/>
      <c r="B448" s="22"/>
      <c r="C448" s="150"/>
      <c r="D448" s="151"/>
      <c r="E448" s="151"/>
      <c r="F448" s="150"/>
      <c r="G448" s="149"/>
      <c r="H448" s="22"/>
      <c r="I448" s="22"/>
    </row>
    <row x14ac:dyDescent="0.25" r="449" customHeight="1" ht="17.25">
      <c r="A449" s="3"/>
      <c r="B449" s="22"/>
      <c r="C449" s="150"/>
      <c r="D449" s="151"/>
      <c r="E449" s="151"/>
      <c r="F449" s="150"/>
      <c r="G449" s="149"/>
      <c r="H449" s="22"/>
      <c r="I449" s="22"/>
    </row>
    <row x14ac:dyDescent="0.25" r="450" customHeight="1" ht="17.25">
      <c r="A450" s="3"/>
      <c r="B450" s="22"/>
      <c r="C450" s="150"/>
      <c r="D450" s="151"/>
      <c r="E450" s="151"/>
      <c r="F450" s="150"/>
      <c r="G450" s="149"/>
      <c r="H450" s="22"/>
      <c r="I450" s="22"/>
    </row>
    <row x14ac:dyDescent="0.25" r="451" customHeight="1" ht="17.25">
      <c r="A451" s="3"/>
      <c r="B451" s="22"/>
      <c r="C451" s="150"/>
      <c r="D451" s="151"/>
      <c r="E451" s="151"/>
      <c r="F451" s="150"/>
      <c r="G451" s="149"/>
      <c r="H451" s="22"/>
      <c r="I451" s="22"/>
    </row>
    <row x14ac:dyDescent="0.25" r="452" customHeight="1" ht="17.25">
      <c r="A452" s="3"/>
      <c r="B452" s="22"/>
      <c r="C452" s="150"/>
      <c r="D452" s="151"/>
      <c r="E452" s="151"/>
      <c r="F452" s="150"/>
      <c r="G452" s="149"/>
      <c r="H452" s="22"/>
      <c r="I452" s="22"/>
    </row>
    <row x14ac:dyDescent="0.25" r="453" customHeight="1" ht="17.25">
      <c r="A453" s="3"/>
      <c r="B453" s="22"/>
      <c r="C453" s="150"/>
      <c r="D453" s="151"/>
      <c r="E453" s="151"/>
      <c r="F453" s="150"/>
      <c r="G453" s="149"/>
      <c r="H453" s="22"/>
      <c r="I453" s="22"/>
    </row>
    <row x14ac:dyDescent="0.25" r="454" customHeight="1" ht="17.25">
      <c r="A454" s="3"/>
      <c r="B454" s="22"/>
      <c r="C454" s="150"/>
      <c r="D454" s="151"/>
      <c r="E454" s="151"/>
      <c r="F454" s="150"/>
      <c r="G454" s="149"/>
      <c r="H454" s="22"/>
      <c r="I454" s="22"/>
    </row>
    <row x14ac:dyDescent="0.25" r="455" customHeight="1" ht="17.25">
      <c r="A455" s="3"/>
      <c r="B455" s="22"/>
      <c r="C455" s="150"/>
      <c r="D455" s="151"/>
      <c r="E455" s="151"/>
      <c r="F455" s="150"/>
      <c r="G455" s="149"/>
      <c r="H455" s="22"/>
      <c r="I455" s="22"/>
    </row>
    <row x14ac:dyDescent="0.25" r="456" customHeight="1" ht="17.25">
      <c r="A456" s="3"/>
      <c r="B456" s="22"/>
      <c r="C456" s="150"/>
      <c r="D456" s="151"/>
      <c r="E456" s="151"/>
      <c r="F456" s="150"/>
      <c r="G456" s="149"/>
      <c r="H456" s="22"/>
      <c r="I456" s="22"/>
    </row>
    <row x14ac:dyDescent="0.25" r="457" customHeight="1" ht="17.25">
      <c r="A457" s="3"/>
      <c r="B457" s="22"/>
      <c r="C457" s="150"/>
      <c r="D457" s="151"/>
      <c r="E457" s="151"/>
      <c r="F457" s="150"/>
      <c r="G457" s="149"/>
      <c r="H457" s="22"/>
      <c r="I457" s="22"/>
    </row>
    <row x14ac:dyDescent="0.25" r="458" customHeight="1" ht="17.25">
      <c r="A458" s="3"/>
      <c r="B458" s="22"/>
      <c r="C458" s="150"/>
      <c r="D458" s="151"/>
      <c r="E458" s="151"/>
      <c r="F458" s="150"/>
      <c r="G458" s="149"/>
      <c r="H458" s="22"/>
      <c r="I458" s="22"/>
    </row>
    <row x14ac:dyDescent="0.25" r="459" customHeight="1" ht="17.25">
      <c r="A459" s="3"/>
      <c r="B459" s="22"/>
      <c r="C459" s="150"/>
      <c r="D459" s="151"/>
      <c r="E459" s="151"/>
      <c r="F459" s="150"/>
      <c r="G459" s="149"/>
      <c r="H459" s="22"/>
      <c r="I459" s="22"/>
    </row>
    <row x14ac:dyDescent="0.25" r="460" customHeight="1" ht="17.25">
      <c r="A460" s="3"/>
      <c r="B460" s="22"/>
      <c r="C460" s="150"/>
      <c r="D460" s="151"/>
      <c r="E460" s="151"/>
      <c r="F460" s="150"/>
      <c r="G460" s="149"/>
      <c r="H460" s="22"/>
      <c r="I460" s="22"/>
    </row>
    <row x14ac:dyDescent="0.25" r="461" customHeight="1" ht="17.25">
      <c r="A461" s="3"/>
      <c r="B461" s="22"/>
      <c r="C461" s="150"/>
      <c r="D461" s="151"/>
      <c r="E461" s="151"/>
      <c r="F461" s="150"/>
      <c r="G461" s="149"/>
      <c r="H461" s="22"/>
      <c r="I461" s="22"/>
    </row>
    <row x14ac:dyDescent="0.25" r="462" customHeight="1" ht="17.25">
      <c r="A462" s="3"/>
      <c r="B462" s="22"/>
      <c r="C462" s="150"/>
      <c r="D462" s="151"/>
      <c r="E462" s="151"/>
      <c r="F462" s="150"/>
      <c r="G462" s="149"/>
      <c r="H462" s="22"/>
      <c r="I462" s="22"/>
    </row>
    <row x14ac:dyDescent="0.25" r="463" customHeight="1" ht="17.25">
      <c r="A463" s="3"/>
      <c r="B463" s="22"/>
      <c r="C463" s="150"/>
      <c r="D463" s="151"/>
      <c r="E463" s="151"/>
      <c r="F463" s="150"/>
      <c r="G463" s="149"/>
      <c r="H463" s="22"/>
      <c r="I463" s="22"/>
    </row>
    <row x14ac:dyDescent="0.25" r="464" customHeight="1" ht="17.25">
      <c r="A464" s="3"/>
      <c r="B464" s="22"/>
      <c r="C464" s="150"/>
      <c r="D464" s="151"/>
      <c r="E464" s="151"/>
      <c r="F464" s="150"/>
      <c r="G464" s="149"/>
      <c r="H464" s="22"/>
      <c r="I464" s="22"/>
    </row>
    <row x14ac:dyDescent="0.25" r="465" customHeight="1" ht="17.25">
      <c r="A465" s="3"/>
      <c r="B465" s="22"/>
      <c r="C465" s="150"/>
      <c r="D465" s="151"/>
      <c r="E465" s="151"/>
      <c r="F465" s="150"/>
      <c r="G465" s="149"/>
      <c r="H465" s="22"/>
      <c r="I465" s="22"/>
    </row>
    <row x14ac:dyDescent="0.25" r="466" customHeight="1" ht="17.25">
      <c r="A466" s="3"/>
      <c r="B466" s="22"/>
      <c r="C466" s="150"/>
      <c r="D466" s="151"/>
      <c r="E466" s="151"/>
      <c r="F466" s="150"/>
      <c r="G466" s="149"/>
      <c r="H466" s="22"/>
      <c r="I466" s="22"/>
    </row>
    <row x14ac:dyDescent="0.25" r="467" customHeight="1" ht="17.25">
      <c r="A467" s="3"/>
      <c r="B467" s="22"/>
      <c r="C467" s="150"/>
      <c r="D467" s="151"/>
      <c r="E467" s="151"/>
      <c r="F467" s="150"/>
      <c r="G467" s="149"/>
      <c r="H467" s="22"/>
      <c r="I467" s="22"/>
    </row>
    <row x14ac:dyDescent="0.25" r="468" customHeight="1" ht="17.25">
      <c r="A468" s="3"/>
      <c r="B468" s="22"/>
      <c r="C468" s="150"/>
      <c r="D468" s="151"/>
      <c r="E468" s="151"/>
      <c r="F468" s="150"/>
      <c r="G468" s="149"/>
      <c r="H468" s="22"/>
      <c r="I468" s="22"/>
    </row>
    <row x14ac:dyDescent="0.25" r="469" customHeight="1" ht="17.25">
      <c r="A469" s="3"/>
      <c r="B469" s="22"/>
      <c r="C469" s="150"/>
      <c r="D469" s="151"/>
      <c r="E469" s="151"/>
      <c r="F469" s="150"/>
      <c r="G469" s="149"/>
      <c r="H469" s="22"/>
      <c r="I469" s="22"/>
    </row>
    <row x14ac:dyDescent="0.25" r="470" customHeight="1" ht="17.25">
      <c r="A470" s="3"/>
      <c r="B470" s="22"/>
      <c r="C470" s="150"/>
      <c r="D470" s="151"/>
      <c r="E470" s="151"/>
      <c r="F470" s="150"/>
      <c r="G470" s="149"/>
      <c r="H470" s="22"/>
      <c r="I470" s="22"/>
    </row>
    <row x14ac:dyDescent="0.25" r="471" customHeight="1" ht="17.25">
      <c r="A471" s="3"/>
      <c r="B471" s="22"/>
      <c r="C471" s="150"/>
      <c r="D471" s="151"/>
      <c r="E471" s="151"/>
      <c r="F471" s="150"/>
      <c r="G471" s="149"/>
      <c r="H471" s="22"/>
      <c r="I471" s="22"/>
    </row>
    <row x14ac:dyDescent="0.25" r="472" customHeight="1" ht="17.25">
      <c r="A472" s="3"/>
      <c r="B472" s="22"/>
      <c r="C472" s="150"/>
      <c r="D472" s="151"/>
      <c r="E472" s="151"/>
      <c r="F472" s="150"/>
      <c r="G472" s="149"/>
      <c r="H472" s="22"/>
      <c r="I472" s="22"/>
    </row>
    <row x14ac:dyDescent="0.25" r="473" customHeight="1" ht="17.25">
      <c r="A473" s="3"/>
      <c r="B473" s="22"/>
      <c r="C473" s="150"/>
      <c r="D473" s="151"/>
      <c r="E473" s="151"/>
      <c r="F473" s="150"/>
      <c r="G473" s="149"/>
      <c r="H473" s="22"/>
      <c r="I473" s="22"/>
    </row>
    <row x14ac:dyDescent="0.25" r="474" customHeight="1" ht="17.25">
      <c r="A474" s="3"/>
      <c r="B474" s="22"/>
      <c r="C474" s="150"/>
      <c r="D474" s="151"/>
      <c r="E474" s="151"/>
      <c r="F474" s="150"/>
      <c r="G474" s="149"/>
      <c r="H474" s="22"/>
      <c r="I474" s="22"/>
    </row>
    <row x14ac:dyDescent="0.25" r="475" customHeight="1" ht="17.25">
      <c r="A475" s="3"/>
      <c r="B475" s="22"/>
      <c r="C475" s="150"/>
      <c r="D475" s="151"/>
      <c r="E475" s="151"/>
      <c r="F475" s="150"/>
      <c r="G475" s="149"/>
      <c r="H475" s="22"/>
      <c r="I475" s="22"/>
    </row>
    <row x14ac:dyDescent="0.25" r="476" customHeight="1" ht="17.25">
      <c r="A476" s="3"/>
      <c r="B476" s="22"/>
      <c r="C476" s="150"/>
      <c r="D476" s="151"/>
      <c r="E476" s="151"/>
      <c r="F476" s="150"/>
      <c r="G476" s="149"/>
      <c r="H476" s="22"/>
      <c r="I476" s="22"/>
    </row>
    <row x14ac:dyDescent="0.25" r="477" customHeight="1" ht="17.25">
      <c r="A477" s="3"/>
      <c r="B477" s="22"/>
      <c r="C477" s="150"/>
      <c r="D477" s="151"/>
      <c r="E477" s="151"/>
      <c r="F477" s="150"/>
      <c r="G477" s="149"/>
      <c r="H477" s="22"/>
      <c r="I477" s="22"/>
    </row>
    <row x14ac:dyDescent="0.25" r="478" customHeight="1" ht="17.25">
      <c r="A478" s="3"/>
      <c r="B478" s="22"/>
      <c r="C478" s="150"/>
      <c r="D478" s="151"/>
      <c r="E478" s="151"/>
      <c r="F478" s="150"/>
      <c r="G478" s="149"/>
      <c r="H478" s="22"/>
      <c r="I478" s="22"/>
    </row>
    <row x14ac:dyDescent="0.25" r="479" customHeight="1" ht="17.25">
      <c r="A479" s="3"/>
      <c r="B479" s="22"/>
      <c r="C479" s="150"/>
      <c r="D479" s="151"/>
      <c r="E479" s="151"/>
      <c r="F479" s="150"/>
      <c r="G479" s="149"/>
      <c r="H479" s="22"/>
      <c r="I479" s="22"/>
    </row>
    <row x14ac:dyDescent="0.25" r="480" customHeight="1" ht="17.25">
      <c r="A480" s="3"/>
      <c r="B480" s="22"/>
      <c r="C480" s="150"/>
      <c r="D480" s="151"/>
      <c r="E480" s="151"/>
      <c r="F480" s="150"/>
      <c r="G480" s="149"/>
      <c r="H480" s="22"/>
      <c r="I480" s="22"/>
    </row>
    <row x14ac:dyDescent="0.25" r="481" customHeight="1" ht="17.25">
      <c r="A481" s="3"/>
      <c r="B481" s="22"/>
      <c r="C481" s="150"/>
      <c r="D481" s="151"/>
      <c r="E481" s="151"/>
      <c r="F481" s="150"/>
      <c r="G481" s="149"/>
      <c r="H481" s="22"/>
      <c r="I481" s="22"/>
    </row>
    <row x14ac:dyDescent="0.25" r="482" customHeight="1" ht="17.25">
      <c r="A482" s="3"/>
      <c r="B482" s="22"/>
      <c r="C482" s="150"/>
      <c r="D482" s="151"/>
      <c r="E482" s="151"/>
      <c r="F482" s="150"/>
      <c r="G482" s="149"/>
      <c r="H482" s="22"/>
      <c r="I482" s="22"/>
    </row>
    <row x14ac:dyDescent="0.25" r="483" customHeight="1" ht="17.25">
      <c r="A483" s="3"/>
      <c r="B483" s="22"/>
      <c r="C483" s="150"/>
      <c r="D483" s="151"/>
      <c r="E483" s="151"/>
      <c r="F483" s="150"/>
      <c r="G483" s="149"/>
      <c r="H483" s="22"/>
      <c r="I483" s="22"/>
    </row>
    <row x14ac:dyDescent="0.25" r="484" customHeight="1" ht="17.25">
      <c r="A484" s="3"/>
      <c r="B484" s="22"/>
      <c r="C484" s="150"/>
      <c r="D484" s="151"/>
      <c r="E484" s="151"/>
      <c r="F484" s="150"/>
      <c r="G484" s="149"/>
      <c r="H484" s="22"/>
      <c r="I484" s="22"/>
    </row>
    <row x14ac:dyDescent="0.25" r="485" customHeight="1" ht="17.25">
      <c r="A485" s="3"/>
      <c r="B485" s="22"/>
      <c r="C485" s="150"/>
      <c r="D485" s="151"/>
      <c r="E485" s="151"/>
      <c r="F485" s="150"/>
      <c r="G485" s="149"/>
      <c r="H485" s="22"/>
      <c r="I485" s="22"/>
    </row>
    <row x14ac:dyDescent="0.25" r="486" customHeight="1" ht="17.25">
      <c r="A486" s="3"/>
      <c r="B486" s="22"/>
      <c r="C486" s="150"/>
      <c r="D486" s="151"/>
      <c r="E486" s="151"/>
      <c r="F486" s="150"/>
      <c r="G486" s="149"/>
      <c r="H486" s="22"/>
      <c r="I486" s="22"/>
    </row>
    <row x14ac:dyDescent="0.25" r="487" customHeight="1" ht="17.25">
      <c r="A487" s="3"/>
      <c r="B487" s="22"/>
      <c r="C487" s="150"/>
      <c r="D487" s="151"/>
      <c r="E487" s="151"/>
      <c r="F487" s="150"/>
      <c r="G487" s="149"/>
      <c r="H487" s="22"/>
      <c r="I487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31"/>
  <sheetViews>
    <sheetView workbookViewId="0"/>
  </sheetViews>
  <sheetFormatPr defaultRowHeight="15" x14ac:dyDescent="0.25"/>
  <cols>
    <col min="1" max="1" style="19" width="11.43357142857143" customWidth="1" bestFit="1"/>
    <col min="2" max="2" style="19" width="14.43357142857143" customWidth="1" bestFit="1"/>
    <col min="3" max="3" style="19" width="27.14785714285714" customWidth="1" bestFit="1"/>
    <col min="4" max="4" style="19" width="28.576428571428572" customWidth="1" bestFit="1"/>
    <col min="5" max="5" style="19" width="5.862142857142857" customWidth="1" bestFit="1"/>
    <col min="6" max="6" style="19" width="4.719285714285714" customWidth="1" bestFit="1"/>
    <col min="7" max="7" style="19" width="8.719285714285713" customWidth="1" bestFit="1"/>
    <col min="8" max="8" style="19" width="13.43357142857143" customWidth="1" bestFit="1"/>
    <col min="9" max="9" style="19" width="9.290714285714287" customWidth="1" bestFit="1"/>
    <col min="10" max="10" style="19" width="8.576428571428572" customWidth="1" bestFit="1"/>
    <col min="11" max="11" style="19" width="9.719285714285713" customWidth="1" bestFit="1"/>
    <col min="12" max="12" style="19" width="8.862142857142858" customWidth="1" bestFit="1"/>
    <col min="13" max="13" style="19" width="8.43357142857143" customWidth="1" bestFit="1"/>
    <col min="14" max="14" style="19" width="10.290714285714287" customWidth="1" bestFit="1"/>
    <col min="15" max="15" style="19" width="11.290714285714287" customWidth="1" bestFit="1"/>
    <col min="16" max="16" style="19" width="11.43357142857143" customWidth="1" bestFit="1"/>
    <col min="17" max="17" style="19" width="11.43357142857143" customWidth="1" bestFit="1"/>
    <col min="18" max="18" style="19" width="9.719285714285713" customWidth="1" bestFit="1"/>
    <col min="19" max="19" style="19" width="12.43357142857143" customWidth="1" bestFit="1"/>
    <col min="20" max="20" style="19" width="12.43357142857143" customWidth="1" bestFit="1"/>
  </cols>
  <sheetData>
    <row x14ac:dyDescent="0.25" r="1" customHeight="1" ht="16.5">
      <c r="A1" s="122" t="s">
        <v>144</v>
      </c>
      <c r="B1" s="3"/>
      <c r="C1" s="3"/>
      <c r="D1" s="122"/>
      <c r="E1" s="122"/>
      <c r="F1" s="122"/>
      <c r="G1" s="122"/>
      <c r="H1" s="122"/>
      <c r="I1" s="3"/>
      <c r="J1" s="3"/>
      <c r="K1" s="122"/>
      <c r="L1" s="122"/>
      <c r="M1" s="3"/>
      <c r="N1" s="3"/>
      <c r="O1" s="3"/>
      <c r="P1" s="3"/>
      <c r="Q1" s="3"/>
      <c r="R1" s="3"/>
      <c r="S1" s="3"/>
      <c r="T1" s="3"/>
    </row>
    <row x14ac:dyDescent="0.25" r="2" customHeight="1" ht="16.5">
      <c r="A2" s="122" t="s">
        <v>145</v>
      </c>
      <c r="B2" s="3"/>
      <c r="C2" s="3"/>
      <c r="D2" s="122"/>
      <c r="E2" s="122"/>
      <c r="F2" s="122"/>
      <c r="G2" s="122"/>
      <c r="H2" s="122"/>
      <c r="I2" s="3"/>
      <c r="J2" s="3"/>
      <c r="K2" s="122"/>
      <c r="L2" s="122"/>
      <c r="M2" s="3"/>
      <c r="N2" s="3"/>
      <c r="O2" s="3"/>
      <c r="P2" s="3"/>
      <c r="Q2" s="3"/>
      <c r="R2" s="3"/>
      <c r="S2" s="3"/>
      <c r="T2" s="3"/>
    </row>
    <row x14ac:dyDescent="0.25" r="3" customHeight="1" ht="13.5">
      <c r="A3" s="3"/>
      <c r="B3" s="3"/>
      <c r="C3" s="3"/>
      <c r="D3" s="3"/>
      <c r="E3" s="3"/>
      <c r="F3" s="3"/>
      <c r="G3" s="3"/>
      <c r="H3" s="3"/>
      <c r="I3" s="74"/>
      <c r="J3" s="74" t="s">
        <v>146</v>
      </c>
      <c r="K3" s="74"/>
      <c r="L3" s="74"/>
      <c r="M3" s="3"/>
      <c r="N3" s="3"/>
      <c r="O3" s="3"/>
      <c r="P3" s="3"/>
      <c r="Q3" s="3"/>
      <c r="R3" s="3"/>
      <c r="S3" s="3"/>
      <c r="T3" s="3"/>
    </row>
    <row x14ac:dyDescent="0.25" r="4" customHeight="1" ht="18.75">
      <c r="A4" s="3"/>
      <c r="B4" s="3"/>
      <c r="C4" s="3"/>
      <c r="D4" s="3"/>
      <c r="E4" s="3"/>
      <c r="F4" s="3"/>
      <c r="G4" s="3"/>
      <c r="H4" s="123"/>
      <c r="I4" s="124" t="s">
        <v>147</v>
      </c>
      <c r="J4" s="125"/>
      <c r="K4" s="124" t="s">
        <v>148</v>
      </c>
      <c r="L4" s="125"/>
      <c r="M4" s="124" t="s">
        <v>149</v>
      </c>
      <c r="N4" s="125"/>
      <c r="O4" s="124" t="s">
        <v>150</v>
      </c>
      <c r="P4" s="126"/>
      <c r="Q4" s="125"/>
      <c r="R4" s="124" t="s">
        <v>151</v>
      </c>
      <c r="S4" s="126"/>
      <c r="T4" s="125"/>
    </row>
    <row x14ac:dyDescent="0.25" r="5" customHeight="1" ht="30.75">
      <c r="A5" s="127" t="s">
        <v>152</v>
      </c>
      <c r="B5" s="127" t="s">
        <v>19</v>
      </c>
      <c r="C5" s="127" t="s">
        <v>153</v>
      </c>
      <c r="D5" s="127" t="s">
        <v>154</v>
      </c>
      <c r="E5" s="127" t="s">
        <v>155</v>
      </c>
      <c r="F5" s="127" t="s">
        <v>24</v>
      </c>
      <c r="G5" s="128" t="s">
        <v>156</v>
      </c>
      <c r="H5" s="129" t="s">
        <v>157</v>
      </c>
      <c r="I5" s="130" t="s">
        <v>158</v>
      </c>
      <c r="J5" s="131" t="s">
        <v>147</v>
      </c>
      <c r="K5" s="130" t="s">
        <v>159</v>
      </c>
      <c r="L5" s="131" t="s">
        <v>148</v>
      </c>
      <c r="M5" s="130" t="s">
        <v>160</v>
      </c>
      <c r="N5" s="131" t="s">
        <v>149</v>
      </c>
      <c r="O5" s="130" t="s">
        <v>161</v>
      </c>
      <c r="P5" s="132" t="s">
        <v>162</v>
      </c>
      <c r="Q5" s="133" t="s">
        <v>150</v>
      </c>
      <c r="R5" s="130" t="s">
        <v>163</v>
      </c>
      <c r="S5" s="132" t="s">
        <v>164</v>
      </c>
      <c r="T5" s="133" t="s">
        <v>59</v>
      </c>
    </row>
    <row x14ac:dyDescent="0.25" r="6" customHeight="1" ht="1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134"/>
      <c r="P6" s="3"/>
      <c r="Q6" s="3"/>
      <c r="R6" s="3"/>
      <c r="S6" s="3"/>
      <c r="T6" s="3"/>
    </row>
    <row x14ac:dyDescent="0.25" r="7" customHeight="1" ht="17.25">
      <c r="A7" s="3"/>
      <c r="B7" s="3"/>
      <c r="C7" s="3"/>
      <c r="D7" s="3"/>
      <c r="E7" s="3"/>
      <c r="F7" s="3"/>
      <c r="G7" s="3"/>
      <c r="H7" s="3"/>
      <c r="I7" s="3"/>
      <c r="J7" s="78"/>
      <c r="K7" s="3"/>
      <c r="L7" s="78"/>
      <c r="M7" s="3"/>
      <c r="N7" s="78"/>
      <c r="O7" s="3"/>
      <c r="P7" s="3"/>
      <c r="Q7" s="78"/>
      <c r="R7" s="76"/>
      <c r="S7" s="3"/>
      <c r="T7" s="3"/>
    </row>
    <row x14ac:dyDescent="0.25" r="8" customHeight="1" ht="17.25">
      <c r="A8" s="3"/>
      <c r="B8" s="3"/>
      <c r="C8" s="3"/>
      <c r="D8" s="3"/>
      <c r="E8" s="3"/>
      <c r="F8" s="3"/>
      <c r="G8" s="3"/>
      <c r="H8" s="3"/>
      <c r="I8" s="3"/>
      <c r="J8" s="78"/>
      <c r="K8" s="3"/>
      <c r="L8" s="78"/>
      <c r="M8" s="3"/>
      <c r="N8" s="78"/>
      <c r="O8" s="3"/>
      <c r="P8" s="3"/>
      <c r="Q8" s="78"/>
      <c r="R8" s="76"/>
      <c r="S8" s="3"/>
      <c r="T8" s="3"/>
    </row>
    <row x14ac:dyDescent="0.25" r="9" customHeight="1" ht="17.25">
      <c r="A9" s="3"/>
      <c r="B9" s="3"/>
      <c r="C9" s="3"/>
      <c r="D9" s="3"/>
      <c r="E9" s="3"/>
      <c r="F9" s="3"/>
      <c r="G9" s="3"/>
      <c r="H9" s="3"/>
      <c r="I9" s="3"/>
      <c r="J9" s="78"/>
      <c r="K9" s="3"/>
      <c r="L9" s="78"/>
      <c r="M9" s="3"/>
      <c r="N9" s="78"/>
      <c r="O9" s="3"/>
      <c r="P9" s="3"/>
      <c r="Q9" s="78"/>
      <c r="R9" s="76"/>
      <c r="S9" s="3"/>
      <c r="T9" s="3"/>
    </row>
    <row x14ac:dyDescent="0.25" r="10" customHeight="1" ht="17.25">
      <c r="A10" s="3"/>
      <c r="B10" s="3"/>
      <c r="C10" s="3"/>
      <c r="D10" s="3"/>
      <c r="E10" s="3"/>
      <c r="F10" s="3"/>
      <c r="G10" s="3"/>
      <c r="H10" s="3"/>
      <c r="I10" s="3"/>
      <c r="J10" s="78"/>
      <c r="K10" s="3"/>
      <c r="L10" s="78"/>
      <c r="M10" s="3"/>
      <c r="N10" s="78"/>
      <c r="O10" s="3"/>
      <c r="P10" s="3"/>
      <c r="Q10" s="78"/>
      <c r="R10" s="76"/>
      <c r="S10" s="3"/>
      <c r="T10" s="78"/>
    </row>
    <row x14ac:dyDescent="0.25" r="11" customHeight="1" ht="17.25">
      <c r="A11" s="3"/>
      <c r="B11" s="3"/>
      <c r="C11" s="3"/>
      <c r="D11" s="3"/>
      <c r="E11" s="3"/>
      <c r="F11" s="3"/>
      <c r="G11" s="3"/>
      <c r="H11" s="3"/>
      <c r="I11" s="3"/>
      <c r="J11" s="78"/>
      <c r="K11" s="3"/>
      <c r="L11" s="78"/>
      <c r="M11" s="3"/>
      <c r="N11" s="78"/>
      <c r="O11" s="3"/>
      <c r="P11" s="3"/>
      <c r="Q11" s="78"/>
      <c r="R11" s="76"/>
      <c r="S11" s="3"/>
      <c r="T11" s="78"/>
    </row>
    <row x14ac:dyDescent="0.25" r="12" customHeight="1" ht="17.25">
      <c r="A12" s="3"/>
      <c r="B12" s="3"/>
      <c r="C12" s="3"/>
      <c r="D12" s="3"/>
      <c r="E12" s="3"/>
      <c r="F12" s="3"/>
      <c r="G12" s="3"/>
      <c r="H12" s="3"/>
      <c r="I12" s="3"/>
      <c r="J12" s="78"/>
      <c r="K12" s="3"/>
      <c r="L12" s="78"/>
      <c r="M12" s="3"/>
      <c r="N12" s="78"/>
      <c r="O12" s="3"/>
      <c r="P12" s="3"/>
      <c r="Q12" s="78"/>
      <c r="R12" s="76"/>
      <c r="S12" s="3"/>
      <c r="T12" s="78"/>
    </row>
    <row x14ac:dyDescent="0.25" r="13" customHeight="1" ht="17.25">
      <c r="A13" s="3"/>
      <c r="B13" s="3"/>
      <c r="C13" s="3"/>
      <c r="D13" s="3"/>
      <c r="E13" s="3"/>
      <c r="F13" s="3"/>
      <c r="G13" s="3"/>
      <c r="H13" s="3"/>
      <c r="I13" s="3"/>
      <c r="J13" s="78"/>
      <c r="K13" s="3"/>
      <c r="L13" s="78"/>
      <c r="M13" s="3"/>
      <c r="N13" s="78"/>
      <c r="O13" s="3"/>
      <c r="P13" s="3"/>
      <c r="Q13" s="78"/>
      <c r="R13" s="76"/>
      <c r="S13" s="3"/>
      <c r="T13" s="78"/>
    </row>
    <row x14ac:dyDescent="0.25" r="14" customHeight="1" ht="17.25">
      <c r="A14" s="3"/>
      <c r="B14" s="3"/>
      <c r="C14" s="3"/>
      <c r="D14" s="3"/>
      <c r="E14" s="3"/>
      <c r="F14" s="3"/>
      <c r="G14" s="3"/>
      <c r="H14" s="3"/>
      <c r="I14" s="3"/>
      <c r="J14" s="78"/>
      <c r="K14" s="3"/>
      <c r="L14" s="78"/>
      <c r="M14" s="3"/>
      <c r="N14" s="78"/>
      <c r="O14" s="3"/>
      <c r="P14" s="3"/>
      <c r="Q14" s="78"/>
      <c r="R14" s="76"/>
      <c r="S14" s="3"/>
      <c r="T14" s="78"/>
    </row>
    <row x14ac:dyDescent="0.25" r="15" customHeight="1" ht="17.25">
      <c r="A15" s="3"/>
      <c r="B15" s="3"/>
      <c r="C15" s="3"/>
      <c r="D15" s="3"/>
      <c r="E15" s="3"/>
      <c r="F15" s="3"/>
      <c r="G15" s="3"/>
      <c r="H15" s="3"/>
      <c r="I15" s="3"/>
      <c r="J15" s="78"/>
      <c r="K15" s="3"/>
      <c r="L15" s="78"/>
      <c r="M15" s="3"/>
      <c r="N15" s="78"/>
      <c r="O15" s="3"/>
      <c r="P15" s="3"/>
      <c r="Q15" s="78"/>
      <c r="R15" s="76"/>
      <c r="S15" s="3"/>
      <c r="T15" s="78"/>
    </row>
    <row x14ac:dyDescent="0.25" r="16" customHeight="1" ht="17.25">
      <c r="A16" s="3"/>
      <c r="B16" s="3"/>
      <c r="C16" s="3"/>
      <c r="D16" s="3"/>
      <c r="E16" s="3"/>
      <c r="F16" s="3"/>
      <c r="G16" s="3"/>
      <c r="H16" s="3"/>
      <c r="I16" s="3"/>
      <c r="J16" s="78"/>
      <c r="K16" s="3"/>
      <c r="L16" s="78"/>
      <c r="M16" s="3"/>
      <c r="N16" s="78"/>
      <c r="O16" s="3"/>
      <c r="P16" s="3"/>
      <c r="Q16" s="78"/>
      <c r="R16" s="76"/>
      <c r="S16" s="3"/>
      <c r="T16" s="78"/>
    </row>
    <row x14ac:dyDescent="0.25" r="17" customHeight="1" ht="17.25">
      <c r="A17" s="3"/>
      <c r="B17" s="3"/>
      <c r="C17" s="3"/>
      <c r="D17" s="3"/>
      <c r="E17" s="3"/>
      <c r="F17" s="3"/>
      <c r="G17" s="3"/>
      <c r="H17" s="3"/>
      <c r="I17" s="3"/>
      <c r="J17" s="78"/>
      <c r="K17" s="3"/>
      <c r="L17" s="78"/>
      <c r="M17" s="3"/>
      <c r="N17" s="78"/>
      <c r="O17" s="3"/>
      <c r="P17" s="3"/>
      <c r="Q17" s="78"/>
      <c r="R17" s="76"/>
      <c r="S17" s="3"/>
      <c r="T17" s="78"/>
    </row>
    <row x14ac:dyDescent="0.25" r="18" customHeight="1" ht="17.25">
      <c r="A18" s="3"/>
      <c r="B18" s="3"/>
      <c r="C18" s="3"/>
      <c r="D18" s="3"/>
      <c r="E18" s="3"/>
      <c r="F18" s="3"/>
      <c r="G18" s="3"/>
      <c r="H18" s="3"/>
      <c r="I18" s="3"/>
      <c r="J18" s="78"/>
      <c r="K18" s="3"/>
      <c r="L18" s="78"/>
      <c r="M18" s="3"/>
      <c r="N18" s="78"/>
      <c r="O18" s="3"/>
      <c r="P18" s="3"/>
      <c r="Q18" s="78"/>
      <c r="R18" s="76"/>
      <c r="S18" s="3"/>
      <c r="T18" s="78"/>
    </row>
    <row x14ac:dyDescent="0.25" r="19" customHeight="1" ht="17.25">
      <c r="A19" s="3"/>
      <c r="B19" s="3"/>
      <c r="C19" s="3"/>
      <c r="D19" s="3"/>
      <c r="E19" s="3"/>
      <c r="F19" s="3"/>
      <c r="G19" s="3"/>
      <c r="H19" s="3"/>
      <c r="I19" s="3"/>
      <c r="J19" s="78"/>
      <c r="K19" s="3"/>
      <c r="L19" s="78"/>
      <c r="M19" s="3"/>
      <c r="N19" s="78"/>
      <c r="O19" s="3"/>
      <c r="P19" s="3"/>
      <c r="Q19" s="78"/>
      <c r="R19" s="76"/>
      <c r="S19" s="3"/>
      <c r="T19" s="78"/>
    </row>
    <row x14ac:dyDescent="0.25" r="20" customHeight="1" ht="17.25">
      <c r="A20" s="3"/>
      <c r="B20" s="3"/>
      <c r="C20" s="3"/>
      <c r="D20" s="3"/>
      <c r="E20" s="3"/>
      <c r="F20" s="3"/>
      <c r="G20" s="3"/>
      <c r="H20" s="3"/>
      <c r="I20" s="3"/>
      <c r="J20" s="78"/>
      <c r="K20" s="3"/>
      <c r="L20" s="78"/>
      <c r="M20" s="3"/>
      <c r="N20" s="78"/>
      <c r="O20" s="3"/>
      <c r="P20" s="3"/>
      <c r="Q20" s="78"/>
      <c r="R20" s="76"/>
      <c r="S20" s="3"/>
      <c r="T20" s="78"/>
    </row>
    <row x14ac:dyDescent="0.25" r="21" customHeight="1" ht="17.25">
      <c r="A21" s="3"/>
      <c r="B21" s="3"/>
      <c r="C21" s="3"/>
      <c r="D21" s="3"/>
      <c r="E21" s="3"/>
      <c r="F21" s="3"/>
      <c r="G21" s="3"/>
      <c r="H21" s="3"/>
      <c r="I21" s="3"/>
      <c r="J21" s="78"/>
      <c r="K21" s="3"/>
      <c r="L21" s="78"/>
      <c r="M21" s="3"/>
      <c r="N21" s="78"/>
      <c r="O21" s="3"/>
      <c r="P21" s="3"/>
      <c r="Q21" s="78"/>
      <c r="R21" s="76"/>
      <c r="S21" s="3"/>
      <c r="T21" s="78"/>
    </row>
    <row x14ac:dyDescent="0.25" r="22" customHeight="1" ht="17.25">
      <c r="A22" s="3"/>
      <c r="B22" s="3"/>
      <c r="C22" s="3"/>
      <c r="D22" s="3"/>
      <c r="E22" s="3"/>
      <c r="F22" s="3"/>
      <c r="G22" s="3"/>
      <c r="H22" s="3"/>
      <c r="I22" s="3"/>
      <c r="J22" s="78"/>
      <c r="K22" s="3"/>
      <c r="L22" s="78"/>
      <c r="M22" s="3"/>
      <c r="N22" s="78"/>
      <c r="O22" s="3"/>
      <c r="P22" s="3"/>
      <c r="Q22" s="78"/>
      <c r="R22" s="76"/>
      <c r="S22" s="3"/>
      <c r="T22" s="78"/>
    </row>
    <row x14ac:dyDescent="0.25" r="23" customHeight="1" ht="17.25">
      <c r="A23" s="3"/>
      <c r="B23" s="3"/>
      <c r="C23" s="3"/>
      <c r="D23" s="3"/>
      <c r="E23" s="3"/>
      <c r="F23" s="3"/>
      <c r="G23" s="3"/>
      <c r="H23" s="3"/>
      <c r="I23" s="3"/>
      <c r="J23" s="78"/>
      <c r="K23" s="3"/>
      <c r="L23" s="78"/>
      <c r="M23" s="3"/>
      <c r="N23" s="78"/>
      <c r="O23" s="3"/>
      <c r="P23" s="3"/>
      <c r="Q23" s="78"/>
      <c r="R23" s="76"/>
      <c r="S23" s="3"/>
      <c r="T23" s="78"/>
    </row>
    <row x14ac:dyDescent="0.25" r="24" customHeight="1" ht="17.25">
      <c r="A24" s="3"/>
      <c r="B24" s="3"/>
      <c r="C24" s="3"/>
      <c r="D24" s="3"/>
      <c r="E24" s="3"/>
      <c r="F24" s="3"/>
      <c r="G24" s="3"/>
      <c r="H24" s="3"/>
      <c r="I24" s="3"/>
      <c r="J24" s="78"/>
      <c r="K24" s="3"/>
      <c r="L24" s="135"/>
      <c r="M24" s="3"/>
      <c r="N24" s="78"/>
      <c r="O24" s="3"/>
      <c r="P24" s="3"/>
      <c r="Q24" s="78"/>
      <c r="R24" s="3"/>
      <c r="S24" s="3"/>
      <c r="T24" s="78"/>
    </row>
    <row x14ac:dyDescent="0.25" r="25" customHeight="1" ht="17.25">
      <c r="A25" s="3"/>
      <c r="B25" s="3"/>
      <c r="C25" s="3"/>
      <c r="D25" s="3"/>
      <c r="E25" s="3"/>
      <c r="F25" s="3"/>
      <c r="G25" s="3"/>
      <c r="H25" s="3"/>
      <c r="I25" s="3"/>
      <c r="J25" s="78"/>
      <c r="K25" s="3"/>
      <c r="L25" s="135"/>
      <c r="M25" s="3"/>
      <c r="N25" s="78"/>
      <c r="O25" s="3"/>
      <c r="P25" s="3"/>
      <c r="Q25" s="78"/>
      <c r="R25" s="3"/>
      <c r="S25" s="3"/>
      <c r="T25" s="78"/>
    </row>
    <row x14ac:dyDescent="0.25" r="26" customHeight="1" ht="17.25">
      <c r="A26" s="3"/>
      <c r="B26" s="3"/>
      <c r="C26" s="3"/>
      <c r="D26" s="3"/>
      <c r="E26" s="3"/>
      <c r="F26" s="3"/>
      <c r="G26" s="3"/>
      <c r="H26" s="3"/>
      <c r="I26" s="3"/>
      <c r="J26" s="78"/>
      <c r="K26" s="3"/>
      <c r="L26" s="135"/>
      <c r="M26" s="3"/>
      <c r="N26" s="78"/>
      <c r="O26" s="3"/>
      <c r="P26" s="3"/>
      <c r="Q26" s="78"/>
      <c r="R26" s="3"/>
      <c r="S26" s="3"/>
      <c r="T26" s="78"/>
    </row>
    <row x14ac:dyDescent="0.25" r="27" customHeight="1" ht="17.25">
      <c r="A27" s="3"/>
      <c r="B27" s="3"/>
      <c r="C27" s="3"/>
      <c r="D27" s="3"/>
      <c r="E27" s="3"/>
      <c r="F27" s="3"/>
      <c r="G27" s="3"/>
      <c r="H27" s="3"/>
      <c r="I27" s="3"/>
      <c r="J27" s="78"/>
      <c r="K27" s="3"/>
      <c r="L27" s="135"/>
      <c r="M27" s="3"/>
      <c r="N27" s="78"/>
      <c r="O27" s="3"/>
      <c r="P27" s="3"/>
      <c r="Q27" s="78"/>
      <c r="R27" s="3"/>
      <c r="S27" s="3"/>
      <c r="T27" s="78"/>
    </row>
    <row x14ac:dyDescent="0.25" r="28" customHeight="1" ht="17.25">
      <c r="A28" s="3"/>
      <c r="B28" s="3"/>
      <c r="C28" s="3"/>
      <c r="D28" s="3"/>
      <c r="E28" s="3"/>
      <c r="F28" s="3"/>
      <c r="G28" s="3"/>
      <c r="H28" s="3"/>
      <c r="I28" s="3"/>
      <c r="J28" s="78"/>
      <c r="K28" s="3"/>
      <c r="L28" s="135"/>
      <c r="M28" s="3"/>
      <c r="N28" s="78"/>
      <c r="O28" s="3"/>
      <c r="P28" s="3"/>
      <c r="Q28" s="78"/>
      <c r="R28" s="3"/>
      <c r="S28" s="3"/>
      <c r="T28" s="78"/>
    </row>
    <row x14ac:dyDescent="0.25" r="29" customHeight="1" ht="17.25">
      <c r="A29" s="3"/>
      <c r="B29" s="3"/>
      <c r="C29" s="3"/>
      <c r="D29" s="3"/>
      <c r="E29" s="3"/>
      <c r="F29" s="3"/>
      <c r="G29" s="3"/>
      <c r="H29" s="3"/>
      <c r="I29" s="3"/>
      <c r="J29" s="78"/>
      <c r="K29" s="3"/>
      <c r="L29" s="135"/>
      <c r="M29" s="3"/>
      <c r="N29" s="78"/>
      <c r="O29" s="3"/>
      <c r="P29" s="3"/>
      <c r="Q29" s="78"/>
      <c r="R29" s="3"/>
      <c r="S29" s="3"/>
      <c r="T29" s="78"/>
    </row>
    <row x14ac:dyDescent="0.25" r="30" customHeight="1" ht="17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78"/>
      <c r="R30" s="3"/>
      <c r="S30" s="3"/>
      <c r="T30" s="3"/>
    </row>
    <row x14ac:dyDescent="0.25" r="31" customHeight="1" ht="17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78"/>
      <c r="R31" s="3"/>
      <c r="S31" s="3"/>
      <c r="T31" s="3"/>
    </row>
  </sheetData>
  <mergeCells count="5">
    <mergeCell ref="I4:J4"/>
    <mergeCell ref="K4:L4"/>
    <mergeCell ref="M4:N4"/>
    <mergeCell ref="O4:Q4"/>
    <mergeCell ref="R4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88"/>
  <sheetViews>
    <sheetView workbookViewId="0"/>
  </sheetViews>
  <sheetFormatPr defaultRowHeight="15" x14ac:dyDescent="0.25"/>
  <cols>
    <col min="1" max="1" style="19" width="23.576428571428572" customWidth="1" bestFit="1"/>
    <col min="2" max="2" style="19" width="25.719285714285714" customWidth="1" bestFit="1"/>
    <col min="3" max="3" style="19" width="31.719285714285714" customWidth="1" bestFit="1"/>
    <col min="4" max="4" style="24" width="5.862142857142857" customWidth="1" bestFit="1"/>
    <col min="5" max="5" style="80" width="9.147857142857141" customWidth="1" bestFit="1"/>
    <col min="6" max="6" style="80" width="8.005" customWidth="1" bestFit="1"/>
    <col min="7" max="7" style="80" width="7.719285714285714" customWidth="1" bestFit="1"/>
    <col min="8" max="8" style="80" width="8.43357142857143" customWidth="1" bestFit="1"/>
    <col min="9" max="9" style="80" width="9.862142857142858" customWidth="1" bestFit="1"/>
    <col min="10" max="10" style="80" width="8.576428571428572" customWidth="1" bestFit="1"/>
    <col min="11" max="11" style="24" width="8.290714285714287" customWidth="1" bestFit="1"/>
    <col min="12" max="12" style="80" width="8.005" customWidth="1" bestFit="1"/>
    <col min="13" max="13" style="80" width="8.576428571428572" customWidth="1" bestFit="1"/>
    <col min="14" max="14" style="80" width="8.862142857142858" customWidth="1" bestFit="1"/>
    <col min="15" max="15" style="24" width="7.2907142857142855" customWidth="1" bestFit="1"/>
    <col min="16" max="16" style="80" width="7.719285714285714" customWidth="1" bestFit="1"/>
    <col min="17" max="17" style="80" width="8.005" customWidth="1" bestFit="1"/>
    <col min="18" max="18" style="80" width="7.862142857142857" customWidth="1" bestFit="1"/>
    <col min="19" max="19" style="80" width="8.290714285714287" customWidth="1" bestFit="1"/>
    <col min="20" max="20" style="80" width="8.719285714285713" customWidth="1" bestFit="1"/>
    <col min="21" max="21" style="80" width="7.862142857142857" customWidth="1" bestFit="1"/>
    <col min="22" max="22" style="80" width="8.005" customWidth="1" bestFit="1"/>
    <col min="23" max="23" style="80" width="7.862142857142857" customWidth="1" bestFit="1"/>
    <col min="24" max="24" style="19" width="12.43357142857143" customWidth="1" bestFit="1" hidden="1"/>
  </cols>
  <sheetData>
    <row x14ac:dyDescent="0.25" r="1" customHeight="1" ht="17.25">
      <c r="A1" s="25" t="s">
        <v>0</v>
      </c>
      <c r="B1" s="25"/>
      <c r="C1" s="82"/>
      <c r="D1" s="83"/>
      <c r="E1" s="84"/>
      <c r="F1" s="84"/>
      <c r="G1" s="84"/>
      <c r="H1" s="84"/>
      <c r="I1" s="84"/>
      <c r="J1" s="84"/>
      <c r="K1" s="85"/>
      <c r="L1" s="84"/>
      <c r="M1" s="84"/>
      <c r="N1" s="84"/>
      <c r="O1" s="85"/>
      <c r="P1" s="84"/>
      <c r="Q1" s="84"/>
      <c r="R1" s="84"/>
      <c r="S1" s="86">
        <f>+TODAY()</f>
        <v>25569</v>
      </c>
      <c r="T1" s="29"/>
      <c r="U1" s="29"/>
      <c r="V1" s="29"/>
      <c r="W1" s="29"/>
      <c r="X1" s="3"/>
    </row>
    <row x14ac:dyDescent="0.25" r="2" customHeight="1" ht="18.75">
      <c r="A2" s="25" t="s">
        <v>2</v>
      </c>
      <c r="B2" s="25"/>
      <c r="C2" s="82"/>
      <c r="D2" s="83"/>
      <c r="E2" s="84"/>
      <c r="F2" s="84"/>
      <c r="G2" s="84"/>
      <c r="H2" s="31" t="s">
        <v>1</v>
      </c>
      <c r="I2" s="84"/>
      <c r="J2" s="84"/>
      <c r="K2" s="85"/>
      <c r="L2" s="84"/>
      <c r="M2" s="84"/>
      <c r="N2" s="84"/>
      <c r="O2" s="85"/>
      <c r="P2" s="84"/>
      <c r="Q2" s="84"/>
      <c r="R2" s="84"/>
      <c r="S2" s="29"/>
      <c r="T2" s="29"/>
      <c r="U2" s="29"/>
      <c r="V2" s="29"/>
      <c r="W2" s="29"/>
      <c r="X2" s="3"/>
    </row>
    <row x14ac:dyDescent="0.25" r="3" customHeight="1" ht="14.25">
      <c r="A3" s="82"/>
      <c r="B3" s="25"/>
      <c r="C3" s="82"/>
      <c r="D3" s="83"/>
      <c r="E3" s="84"/>
      <c r="F3" s="84"/>
      <c r="G3" s="87"/>
      <c r="H3" s="87"/>
      <c r="I3" s="84"/>
      <c r="J3" s="36" t="s">
        <v>124</v>
      </c>
      <c r="K3" s="88"/>
      <c r="L3" s="87"/>
      <c r="M3" s="87"/>
      <c r="N3" s="84"/>
      <c r="O3" s="85"/>
      <c r="P3" s="84"/>
      <c r="Q3" s="84"/>
      <c r="R3" s="89"/>
      <c r="S3" s="89"/>
      <c r="T3" s="84"/>
      <c r="U3" s="84"/>
      <c r="V3" s="84"/>
      <c r="W3" s="84"/>
      <c r="X3" s="3"/>
    </row>
    <row x14ac:dyDescent="0.25" r="4" customHeight="1" ht="13.5">
      <c r="A4" s="27"/>
      <c r="B4" s="26"/>
      <c r="C4" s="27"/>
      <c r="D4" s="28"/>
      <c r="E4" s="90"/>
      <c r="F4" s="90"/>
      <c r="G4" s="90"/>
      <c r="H4" s="90"/>
      <c r="I4" s="90"/>
      <c r="J4" s="90"/>
      <c r="K4" s="91"/>
      <c r="L4" s="90"/>
      <c r="M4" s="90"/>
      <c r="N4" s="90"/>
      <c r="O4" s="91"/>
      <c r="P4" s="90"/>
      <c r="Q4" s="90"/>
      <c r="R4" s="90"/>
      <c r="S4" s="90"/>
      <c r="T4" s="90"/>
      <c r="U4" s="90"/>
      <c r="V4" s="90"/>
      <c r="W4" s="90"/>
      <c r="X4" s="3"/>
    </row>
    <row x14ac:dyDescent="0.25" r="5" customHeight="1" ht="15.75">
      <c r="A5" s="37"/>
      <c r="B5" s="3"/>
      <c r="C5" s="27"/>
      <c r="D5" s="28"/>
      <c r="E5" s="44" t="s">
        <v>3</v>
      </c>
      <c r="F5" s="92"/>
      <c r="G5" s="93" t="s">
        <v>4</v>
      </c>
      <c r="H5" s="39"/>
      <c r="I5" s="39"/>
      <c r="J5" s="39"/>
      <c r="K5" s="94"/>
      <c r="L5" s="95" t="s">
        <v>5</v>
      </c>
      <c r="M5" s="96"/>
      <c r="N5" s="96"/>
      <c r="O5" s="97"/>
      <c r="P5" s="44" t="s">
        <v>6</v>
      </c>
      <c r="Q5" s="39"/>
      <c r="R5" s="92"/>
      <c r="S5" s="44" t="s">
        <v>7</v>
      </c>
      <c r="T5" s="44" t="s">
        <v>8</v>
      </c>
      <c r="U5" s="39"/>
      <c r="V5" s="92"/>
      <c r="W5" s="44" t="s">
        <v>9</v>
      </c>
      <c r="X5" s="98"/>
    </row>
    <row x14ac:dyDescent="0.25" r="6" customHeight="1" ht="13.5">
      <c r="A6" s="27"/>
      <c r="B6" s="26"/>
      <c r="C6" s="27"/>
      <c r="D6" s="28"/>
      <c r="E6" s="51">
        <v>20</v>
      </c>
      <c r="F6" s="52">
        <v>50</v>
      </c>
      <c r="G6" s="99" t="s">
        <v>10</v>
      </c>
      <c r="H6" s="99" t="s">
        <v>11</v>
      </c>
      <c r="I6" s="99" t="s">
        <v>12</v>
      </c>
      <c r="J6" s="99" t="s">
        <v>13</v>
      </c>
      <c r="K6" s="100" t="s">
        <v>14</v>
      </c>
      <c r="L6" s="101">
        <v>10.5</v>
      </c>
      <c r="M6" s="57">
        <v>21</v>
      </c>
      <c r="N6" s="54" t="s">
        <v>15</v>
      </c>
      <c r="O6" s="102" t="s">
        <v>16</v>
      </c>
      <c r="P6" s="103">
        <v>10.5</v>
      </c>
      <c r="Q6" s="57">
        <v>21</v>
      </c>
      <c r="R6" s="56" t="s">
        <v>15</v>
      </c>
      <c r="S6" s="56" t="s">
        <v>15</v>
      </c>
      <c r="T6" s="103">
        <v>10.5</v>
      </c>
      <c r="U6" s="102">
        <v>21</v>
      </c>
      <c r="V6" s="52">
        <v>170</v>
      </c>
      <c r="W6" s="104" t="s">
        <v>17</v>
      </c>
      <c r="X6" s="105" t="s">
        <v>18</v>
      </c>
    </row>
    <row x14ac:dyDescent="0.25" r="7" customHeight="1" ht="14.25">
      <c r="A7" s="60" t="s">
        <v>19</v>
      </c>
      <c r="B7" s="61" t="s">
        <v>21</v>
      </c>
      <c r="C7" s="61" t="s">
        <v>22</v>
      </c>
      <c r="D7" s="106" t="s">
        <v>23</v>
      </c>
      <c r="E7" s="66">
        <v>501101</v>
      </c>
      <c r="F7" s="67">
        <v>501102</v>
      </c>
      <c r="G7" s="69">
        <v>502102</v>
      </c>
      <c r="H7" s="69">
        <v>502103</v>
      </c>
      <c r="I7" s="69">
        <v>502118</v>
      </c>
      <c r="J7" s="69">
        <v>502119</v>
      </c>
      <c r="K7" s="107" t="s">
        <v>25</v>
      </c>
      <c r="L7" s="108">
        <v>503101</v>
      </c>
      <c r="M7" s="109">
        <v>503102</v>
      </c>
      <c r="N7" s="110" t="s">
        <v>26</v>
      </c>
      <c r="O7" s="111">
        <v>503133</v>
      </c>
      <c r="P7" s="66">
        <v>503201</v>
      </c>
      <c r="Q7" s="69">
        <v>503202</v>
      </c>
      <c r="R7" s="112" t="s">
        <v>27</v>
      </c>
      <c r="S7" s="113" t="s">
        <v>28</v>
      </c>
      <c r="T7" s="66">
        <v>503301</v>
      </c>
      <c r="U7" s="114">
        <v>503302</v>
      </c>
      <c r="V7" s="67">
        <v>503303</v>
      </c>
      <c r="W7" s="115"/>
      <c r="X7" s="116"/>
    </row>
    <row x14ac:dyDescent="0.25" r="8" customHeight="1" ht="17.25">
      <c r="A8" s="3" t="s">
        <v>56</v>
      </c>
      <c r="B8" s="3" t="s">
        <v>57</v>
      </c>
      <c r="C8" s="3" t="s">
        <v>58</v>
      </c>
      <c r="D8" s="117">
        <v>2024</v>
      </c>
      <c r="E8" s="117">
        <v>8275</v>
      </c>
      <c r="F8" s="117">
        <v>34804</v>
      </c>
      <c r="G8" s="117">
        <v>20212</v>
      </c>
      <c r="H8" s="117">
        <v>9465</v>
      </c>
      <c r="I8" s="118">
        <v>56983.16015625</v>
      </c>
      <c r="J8" s="117">
        <v>18615</v>
      </c>
      <c r="K8" s="22"/>
      <c r="L8" s="117">
        <v>125309</v>
      </c>
      <c r="M8" s="118">
        <v>53142.6817188263</v>
      </c>
      <c r="N8" s="118">
        <v>209225.671875</v>
      </c>
      <c r="O8" s="22"/>
      <c r="P8" s="118">
        <v>17149.9803905487</v>
      </c>
      <c r="Q8" s="118">
        <v>5787.5</v>
      </c>
      <c r="R8" s="118">
        <v>16269.1698436737</v>
      </c>
      <c r="S8" s="117">
        <v>119353</v>
      </c>
      <c r="T8" s="118">
        <v>5758.669921875</v>
      </c>
      <c r="U8" s="118">
        <v>4350.16999816895</v>
      </c>
      <c r="V8" s="118">
        <v>12080.83984375</v>
      </c>
      <c r="W8" s="118">
        <v>8848.56011962891</v>
      </c>
      <c r="X8" s="3"/>
    </row>
    <row x14ac:dyDescent="0.25" r="9" customHeight="1" ht="17.25">
      <c r="A9" s="3" t="s">
        <v>56</v>
      </c>
      <c r="B9" s="3" t="s">
        <v>57</v>
      </c>
      <c r="C9" s="3" t="s">
        <v>58</v>
      </c>
      <c r="D9" s="117">
        <v>2025</v>
      </c>
      <c r="E9" s="29"/>
      <c r="F9" s="29"/>
      <c r="G9" s="117">
        <v>5130</v>
      </c>
      <c r="H9" s="117">
        <v>7875</v>
      </c>
      <c r="I9" s="117">
        <v>9230</v>
      </c>
      <c r="J9" s="118">
        <v>5178.330078125</v>
      </c>
      <c r="K9" s="22"/>
      <c r="L9" s="117">
        <v>94500</v>
      </c>
      <c r="M9" s="118">
        <v>35119.328125</v>
      </c>
      <c r="N9" s="118">
        <v>136046.685638428</v>
      </c>
      <c r="O9" s="22"/>
      <c r="P9" s="117">
        <v>6625</v>
      </c>
      <c r="Q9" s="117">
        <v>364</v>
      </c>
      <c r="R9" s="118">
        <v>12523.349609375</v>
      </c>
      <c r="S9" s="117">
        <v>73239</v>
      </c>
      <c r="T9" s="117">
        <v>2618</v>
      </c>
      <c r="U9" s="29"/>
      <c r="V9" s="118">
        <v>8363.5</v>
      </c>
      <c r="W9" s="118">
        <v>1109.03002929688</v>
      </c>
      <c r="X9" s="3"/>
    </row>
    <row x14ac:dyDescent="0.25" r="10" customHeight="1" ht="17.25">
      <c r="A10" s="3" t="s">
        <v>56</v>
      </c>
      <c r="B10" s="3" t="s">
        <v>57</v>
      </c>
      <c r="C10" s="3" t="s">
        <v>58</v>
      </c>
      <c r="D10" s="22" t="s">
        <v>59</v>
      </c>
      <c r="E10" s="119">
        <v>-1</v>
      </c>
      <c r="F10" s="119">
        <v>-1</v>
      </c>
      <c r="G10" s="119">
        <v>-0.75</v>
      </c>
      <c r="H10" s="119">
        <v>-0.17</v>
      </c>
      <c r="I10" s="119">
        <v>-0.84</v>
      </c>
      <c r="J10" s="119">
        <v>-0.72</v>
      </c>
      <c r="K10" s="22" t="s">
        <v>60</v>
      </c>
      <c r="L10" s="119">
        <v>-0.25</v>
      </c>
      <c r="M10" s="119">
        <v>-0.34</v>
      </c>
      <c r="N10" s="119">
        <v>-0.35</v>
      </c>
      <c r="O10" s="22" t="s">
        <v>60</v>
      </c>
      <c r="P10" s="119">
        <v>-0.61</v>
      </c>
      <c r="Q10" s="119">
        <v>-0.94</v>
      </c>
      <c r="R10" s="119">
        <v>-0.23</v>
      </c>
      <c r="S10" s="119">
        <v>-0.39</v>
      </c>
      <c r="T10" s="119">
        <v>-0.55</v>
      </c>
      <c r="U10" s="119">
        <v>-1</v>
      </c>
      <c r="V10" s="119">
        <v>-0.31</v>
      </c>
      <c r="W10" s="119">
        <v>-0.87</v>
      </c>
      <c r="X10" s="3"/>
    </row>
    <row x14ac:dyDescent="0.25" r="11" customHeight="1" ht="17.25">
      <c r="A11" s="3" t="s">
        <v>56</v>
      </c>
      <c r="B11" s="3" t="s">
        <v>61</v>
      </c>
      <c r="C11" s="3" t="s">
        <v>62</v>
      </c>
      <c r="D11" s="117">
        <v>2024</v>
      </c>
      <c r="E11" s="118">
        <v>1.03999996185303</v>
      </c>
      <c r="F11" s="29"/>
      <c r="G11" s="29"/>
      <c r="H11" s="29"/>
      <c r="I11" s="29"/>
      <c r="J11" s="29"/>
      <c r="K11" s="22"/>
      <c r="L11" s="117">
        <v>11601</v>
      </c>
      <c r="M11" s="117">
        <v>9680</v>
      </c>
      <c r="N11" s="29"/>
      <c r="O11" s="22"/>
      <c r="P11" s="117">
        <v>500</v>
      </c>
      <c r="Q11" s="29"/>
      <c r="R11" s="118">
        <v>-21.6700000762939</v>
      </c>
      <c r="S11" s="117">
        <v>17081</v>
      </c>
      <c r="T11" s="29"/>
      <c r="U11" s="29"/>
      <c r="V11" s="117">
        <v>430</v>
      </c>
      <c r="W11" s="29"/>
      <c r="X11" s="3"/>
    </row>
    <row x14ac:dyDescent="0.25" r="12" customHeight="1" ht="17.25">
      <c r="A12" s="3" t="s">
        <v>56</v>
      </c>
      <c r="B12" s="3" t="s">
        <v>61</v>
      </c>
      <c r="C12" s="3" t="s">
        <v>62</v>
      </c>
      <c r="D12" s="117">
        <v>2025</v>
      </c>
      <c r="E12" s="29"/>
      <c r="F12" s="29"/>
      <c r="G12" s="29"/>
      <c r="H12" s="29"/>
      <c r="I12" s="29"/>
      <c r="J12" s="29"/>
      <c r="K12" s="22"/>
      <c r="L12" s="29"/>
      <c r="M12" s="29"/>
      <c r="N12" s="29"/>
      <c r="O12" s="22"/>
      <c r="P12" s="29"/>
      <c r="Q12" s="29"/>
      <c r="R12" s="29"/>
      <c r="S12" s="29"/>
      <c r="T12" s="29"/>
      <c r="U12" s="29"/>
      <c r="V12" s="29"/>
      <c r="W12" s="29"/>
      <c r="X12" s="3"/>
    </row>
    <row x14ac:dyDescent="0.25" r="13" customHeight="1" ht="17.25">
      <c r="A13" s="3" t="s">
        <v>56</v>
      </c>
      <c r="B13" s="3" t="s">
        <v>61</v>
      </c>
      <c r="C13" s="3" t="s">
        <v>62</v>
      </c>
      <c r="D13" s="22" t="s">
        <v>59</v>
      </c>
      <c r="E13" s="119">
        <v>-1</v>
      </c>
      <c r="F13" s="120" t="s">
        <v>60</v>
      </c>
      <c r="G13" s="120" t="s">
        <v>60</v>
      </c>
      <c r="H13" s="120" t="s">
        <v>60</v>
      </c>
      <c r="I13" s="120" t="s">
        <v>60</v>
      </c>
      <c r="J13" s="120" t="s">
        <v>60</v>
      </c>
      <c r="K13" s="22" t="s">
        <v>60</v>
      </c>
      <c r="L13" s="119">
        <v>-1</v>
      </c>
      <c r="M13" s="119">
        <v>-1</v>
      </c>
      <c r="N13" s="120" t="s">
        <v>60</v>
      </c>
      <c r="O13" s="22" t="s">
        <v>60</v>
      </c>
      <c r="P13" s="119">
        <v>-1</v>
      </c>
      <c r="Q13" s="120" t="s">
        <v>60</v>
      </c>
      <c r="R13" s="119">
        <v>-1</v>
      </c>
      <c r="S13" s="119">
        <v>-1</v>
      </c>
      <c r="T13" s="120" t="s">
        <v>60</v>
      </c>
      <c r="U13" s="120" t="s">
        <v>60</v>
      </c>
      <c r="V13" s="119">
        <v>-1</v>
      </c>
      <c r="W13" s="29" t="s">
        <v>60</v>
      </c>
      <c r="X13" s="3"/>
    </row>
    <row x14ac:dyDescent="0.25" r="14" customHeight="1" ht="17.25">
      <c r="A14" s="3" t="s">
        <v>56</v>
      </c>
      <c r="B14" s="3" t="s">
        <v>63</v>
      </c>
      <c r="C14" s="3" t="s">
        <v>64</v>
      </c>
      <c r="D14" s="117">
        <v>2024</v>
      </c>
      <c r="E14" s="118">
        <v>11901.0400390625</v>
      </c>
      <c r="F14" s="117">
        <v>43666</v>
      </c>
      <c r="G14" s="117">
        <v>228</v>
      </c>
      <c r="H14" s="118">
        <v>402.5</v>
      </c>
      <c r="I14" s="117">
        <v>-262</v>
      </c>
      <c r="J14" s="117">
        <v>1800</v>
      </c>
      <c r="K14" s="22"/>
      <c r="L14" s="118">
        <v>82489.5</v>
      </c>
      <c r="M14" s="117">
        <v>29590</v>
      </c>
      <c r="N14" s="118">
        <v>67095.828125</v>
      </c>
      <c r="O14" s="22"/>
      <c r="P14" s="118">
        <v>4529.16015625</v>
      </c>
      <c r="Q14" s="117">
        <v>2968</v>
      </c>
      <c r="R14" s="118">
        <v>4792.52001953125</v>
      </c>
      <c r="S14" s="117">
        <v>91168</v>
      </c>
      <c r="T14" s="117">
        <v>168</v>
      </c>
      <c r="U14" s="117">
        <v>258</v>
      </c>
      <c r="V14" s="118">
        <v>11516.830078125</v>
      </c>
      <c r="W14" s="29"/>
      <c r="X14" s="3"/>
    </row>
    <row x14ac:dyDescent="0.25" r="15" customHeight="1" ht="17.25">
      <c r="A15" s="3" t="s">
        <v>56</v>
      </c>
      <c r="B15" s="3" t="s">
        <v>63</v>
      </c>
      <c r="C15" s="3" t="s">
        <v>64</v>
      </c>
      <c r="D15" s="117">
        <v>2025</v>
      </c>
      <c r="E15" s="29"/>
      <c r="F15" s="29"/>
      <c r="G15" s="29"/>
      <c r="H15" s="29"/>
      <c r="I15" s="117">
        <v>1420</v>
      </c>
      <c r="J15" s="117">
        <v>1300</v>
      </c>
      <c r="K15" s="22"/>
      <c r="L15" s="117">
        <v>16632</v>
      </c>
      <c r="M15" s="117">
        <v>1760</v>
      </c>
      <c r="N15" s="117">
        <v>6500</v>
      </c>
      <c r="O15" s="22"/>
      <c r="P15" s="29"/>
      <c r="Q15" s="29"/>
      <c r="R15" s="29"/>
      <c r="S15" s="117">
        <v>6270</v>
      </c>
      <c r="T15" s="29"/>
      <c r="U15" s="29"/>
      <c r="V15" s="29"/>
      <c r="W15" s="29"/>
      <c r="X15" s="3"/>
    </row>
    <row x14ac:dyDescent="0.25" r="16" customHeight="1" ht="17.25">
      <c r="A16" s="3" t="s">
        <v>56</v>
      </c>
      <c r="B16" s="3" t="s">
        <v>63</v>
      </c>
      <c r="C16" s="3" t="s">
        <v>64</v>
      </c>
      <c r="D16" s="22" t="s">
        <v>59</v>
      </c>
      <c r="E16" s="119">
        <v>-1</v>
      </c>
      <c r="F16" s="119">
        <v>-1</v>
      </c>
      <c r="G16" s="119">
        <v>-1</v>
      </c>
      <c r="H16" s="119">
        <v>-1</v>
      </c>
      <c r="I16" s="119">
        <v>-6.42</v>
      </c>
      <c r="J16" s="119">
        <v>-0.28</v>
      </c>
      <c r="K16" s="22" t="s">
        <v>60</v>
      </c>
      <c r="L16" s="119">
        <v>-0.8</v>
      </c>
      <c r="M16" s="119">
        <v>-0.94</v>
      </c>
      <c r="N16" s="119">
        <v>-0.9</v>
      </c>
      <c r="O16" s="22" t="s">
        <v>60</v>
      </c>
      <c r="P16" s="119">
        <v>-1</v>
      </c>
      <c r="Q16" s="119">
        <v>-1</v>
      </c>
      <c r="R16" s="119">
        <v>-1</v>
      </c>
      <c r="S16" s="119">
        <v>-0.93</v>
      </c>
      <c r="T16" s="119">
        <v>-1</v>
      </c>
      <c r="U16" s="119">
        <v>-1</v>
      </c>
      <c r="V16" s="119">
        <v>-1</v>
      </c>
      <c r="W16" s="120" t="s">
        <v>60</v>
      </c>
      <c r="X16" s="3"/>
    </row>
    <row x14ac:dyDescent="0.25" r="17" customHeight="1" ht="17.25">
      <c r="A17" s="3" t="s">
        <v>56</v>
      </c>
      <c r="B17" s="3" t="s">
        <v>65</v>
      </c>
      <c r="C17" s="3" t="s">
        <v>65</v>
      </c>
      <c r="D17" s="117">
        <v>2024</v>
      </c>
      <c r="E17" s="29"/>
      <c r="F17" s="118">
        <v>3.55999994277954</v>
      </c>
      <c r="G17" s="118">
        <v>40.4300003051758</v>
      </c>
      <c r="H17" s="118">
        <v>-89.8199996948242</v>
      </c>
      <c r="I17" s="118">
        <v>138.600006103516</v>
      </c>
      <c r="J17" s="118">
        <v>24157.8500061035</v>
      </c>
      <c r="K17" s="22"/>
      <c r="L17" s="29"/>
      <c r="M17" s="118">
        <v>12521.9599609375</v>
      </c>
      <c r="N17" s="118">
        <v>47.5999984741211</v>
      </c>
      <c r="O17" s="22"/>
      <c r="P17" s="29"/>
      <c r="Q17" s="117">
        <v>1530</v>
      </c>
      <c r="R17" s="29"/>
      <c r="S17" s="117">
        <v>84</v>
      </c>
      <c r="T17" s="29"/>
      <c r="U17" s="29"/>
      <c r="V17" s="29"/>
      <c r="W17" s="118">
        <v>1054.66000366211</v>
      </c>
      <c r="X17" s="3"/>
    </row>
    <row x14ac:dyDescent="0.25" r="18" customHeight="1" ht="17.25">
      <c r="A18" s="3" t="s">
        <v>56</v>
      </c>
      <c r="B18" s="3" t="s">
        <v>65</v>
      </c>
      <c r="C18" s="3" t="s">
        <v>65</v>
      </c>
      <c r="D18" s="117">
        <v>2025</v>
      </c>
      <c r="E18" s="29"/>
      <c r="F18" s="118">
        <v>10.6800003051758</v>
      </c>
      <c r="G18" s="29"/>
      <c r="H18" s="29"/>
      <c r="I18" s="29"/>
      <c r="J18" s="118">
        <v>14.6999998092651</v>
      </c>
      <c r="K18" s="22"/>
      <c r="L18" s="29"/>
      <c r="M18" s="29"/>
      <c r="N18" s="29"/>
      <c r="O18" s="22"/>
      <c r="P18" s="29"/>
      <c r="Q18" s="117">
        <v>1800</v>
      </c>
      <c r="R18" s="29"/>
      <c r="S18" s="29"/>
      <c r="T18" s="29"/>
      <c r="U18" s="29"/>
      <c r="V18" s="117">
        <v>3440</v>
      </c>
      <c r="W18" s="118">
        <v>287.179992675781</v>
      </c>
      <c r="X18" s="3"/>
    </row>
    <row x14ac:dyDescent="0.25" r="19" customHeight="1" ht="17.25">
      <c r="A19" s="3" t="s">
        <v>56</v>
      </c>
      <c r="B19" s="3" t="s">
        <v>65</v>
      </c>
      <c r="C19" s="3" t="s">
        <v>65</v>
      </c>
      <c r="D19" s="22" t="s">
        <v>59</v>
      </c>
      <c r="E19" s="120" t="s">
        <v>60</v>
      </c>
      <c r="F19" s="119">
        <v>2</v>
      </c>
      <c r="G19" s="119">
        <v>-1</v>
      </c>
      <c r="H19" s="119">
        <v>-1</v>
      </c>
      <c r="I19" s="119">
        <v>-1</v>
      </c>
      <c r="J19" s="119">
        <v>-1</v>
      </c>
      <c r="K19" s="22" t="s">
        <v>60</v>
      </c>
      <c r="L19" s="120" t="s">
        <v>60</v>
      </c>
      <c r="M19" s="119">
        <v>-1</v>
      </c>
      <c r="N19" s="119">
        <v>-1</v>
      </c>
      <c r="O19" s="22" t="s">
        <v>60</v>
      </c>
      <c r="P19" s="120" t="s">
        <v>60</v>
      </c>
      <c r="Q19" s="119">
        <v>0.18</v>
      </c>
      <c r="R19" s="120" t="s">
        <v>60</v>
      </c>
      <c r="S19" s="119">
        <v>-1</v>
      </c>
      <c r="T19" s="120" t="s">
        <v>60</v>
      </c>
      <c r="U19" s="120" t="s">
        <v>60</v>
      </c>
      <c r="V19" s="120" t="s">
        <v>60</v>
      </c>
      <c r="W19" s="119">
        <v>-0.73</v>
      </c>
      <c r="X19" s="3"/>
    </row>
    <row x14ac:dyDescent="0.25" r="20" customHeight="1" ht="17.25">
      <c r="A20" s="3" t="s">
        <v>56</v>
      </c>
      <c r="B20" s="3" t="s">
        <v>72</v>
      </c>
      <c r="C20" s="3" t="s">
        <v>73</v>
      </c>
      <c r="D20" s="117">
        <v>2024</v>
      </c>
      <c r="E20" s="29"/>
      <c r="F20" s="29"/>
      <c r="G20" s="29"/>
      <c r="H20" s="29"/>
      <c r="I20" s="29"/>
      <c r="J20" s="29"/>
      <c r="K20" s="22"/>
      <c r="L20" s="29"/>
      <c r="M20" s="29"/>
      <c r="N20" s="29"/>
      <c r="O20" s="22"/>
      <c r="P20" s="29"/>
      <c r="Q20" s="29"/>
      <c r="R20" s="29"/>
      <c r="S20" s="29"/>
      <c r="T20" s="29"/>
      <c r="U20" s="29"/>
      <c r="V20" s="29"/>
      <c r="W20" s="29"/>
      <c r="X20" s="3"/>
    </row>
    <row x14ac:dyDescent="0.25" r="21" customHeight="1" ht="17.25">
      <c r="A21" s="3" t="s">
        <v>56</v>
      </c>
      <c r="B21" s="3" t="s">
        <v>72</v>
      </c>
      <c r="C21" s="3" t="s">
        <v>74</v>
      </c>
      <c r="D21" s="117">
        <v>2025</v>
      </c>
      <c r="E21" s="29"/>
      <c r="F21" s="29"/>
      <c r="G21" s="29"/>
      <c r="H21" s="29"/>
      <c r="I21" s="29"/>
      <c r="J21" s="29"/>
      <c r="K21" s="22"/>
      <c r="L21" s="29"/>
      <c r="M21" s="29"/>
      <c r="N21" s="29"/>
      <c r="O21" s="22"/>
      <c r="P21" s="29"/>
      <c r="Q21" s="29"/>
      <c r="R21" s="29"/>
      <c r="S21" s="29"/>
      <c r="T21" s="29"/>
      <c r="U21" s="29"/>
      <c r="V21" s="29"/>
      <c r="W21" s="29"/>
      <c r="X21" s="3"/>
    </row>
    <row x14ac:dyDescent="0.25" r="22" customHeight="1" ht="17.25">
      <c r="A22" s="3" t="s">
        <v>56</v>
      </c>
      <c r="B22" s="3" t="s">
        <v>72</v>
      </c>
      <c r="C22" s="3" t="s">
        <v>74</v>
      </c>
      <c r="D22" s="22" t="s">
        <v>59</v>
      </c>
      <c r="E22" s="120" t="s">
        <v>60</v>
      </c>
      <c r="F22" s="120" t="s">
        <v>60</v>
      </c>
      <c r="G22" s="120" t="s">
        <v>60</v>
      </c>
      <c r="H22" s="120" t="s">
        <v>60</v>
      </c>
      <c r="I22" s="120" t="s">
        <v>60</v>
      </c>
      <c r="J22" s="120" t="s">
        <v>60</v>
      </c>
      <c r="K22" s="22" t="s">
        <v>60</v>
      </c>
      <c r="L22" s="120" t="s">
        <v>60</v>
      </c>
      <c r="M22" s="120" t="s">
        <v>60</v>
      </c>
      <c r="N22" s="120" t="s">
        <v>60</v>
      </c>
      <c r="O22" s="22" t="s">
        <v>60</v>
      </c>
      <c r="P22" s="120" t="s">
        <v>60</v>
      </c>
      <c r="Q22" s="120" t="s">
        <v>60</v>
      </c>
      <c r="R22" s="120" t="s">
        <v>60</v>
      </c>
      <c r="S22" s="120" t="s">
        <v>60</v>
      </c>
      <c r="T22" s="120" t="s">
        <v>60</v>
      </c>
      <c r="U22" s="120" t="s">
        <v>60</v>
      </c>
      <c r="V22" s="120" t="s">
        <v>60</v>
      </c>
      <c r="W22" s="120" t="s">
        <v>60</v>
      </c>
      <c r="X22" s="3"/>
    </row>
    <row x14ac:dyDescent="0.25" r="23" customHeight="1" ht="17.25">
      <c r="A23" s="3" t="s">
        <v>56</v>
      </c>
      <c r="B23" s="3" t="s">
        <v>75</v>
      </c>
      <c r="C23" s="3" t="s">
        <v>76</v>
      </c>
      <c r="D23" s="117">
        <v>2024</v>
      </c>
      <c r="E23" s="118">
        <v>1368.26000976563</v>
      </c>
      <c r="F23" s="118">
        <v>2153.19995117188</v>
      </c>
      <c r="G23" s="118">
        <v>7448.81982421875</v>
      </c>
      <c r="H23" s="117">
        <v>2530</v>
      </c>
      <c r="I23" s="117">
        <v>8418</v>
      </c>
      <c r="J23" s="117">
        <v>3381</v>
      </c>
      <c r="K23" s="22"/>
      <c r="L23" s="117">
        <v>9272</v>
      </c>
      <c r="M23" s="118">
        <v>3792.64990234375</v>
      </c>
      <c r="N23" s="118">
        <v>11984.9501953125</v>
      </c>
      <c r="O23" s="22"/>
      <c r="P23" s="118">
        <v>1759.33996582031</v>
      </c>
      <c r="Q23" s="118">
        <v>79.5099964141846</v>
      </c>
      <c r="R23" s="118">
        <v>739.440002441406</v>
      </c>
      <c r="S23" s="117">
        <v>5070</v>
      </c>
      <c r="T23" s="117">
        <v>472</v>
      </c>
      <c r="U23" s="29"/>
      <c r="V23" s="118">
        <v>1116.11999511719</v>
      </c>
      <c r="W23" s="118">
        <v>3437.64001464844</v>
      </c>
      <c r="X23" s="3"/>
    </row>
    <row x14ac:dyDescent="0.25" r="24" customHeight="1" ht="17.25">
      <c r="A24" s="3" t="s">
        <v>56</v>
      </c>
      <c r="B24" s="3" t="s">
        <v>75</v>
      </c>
      <c r="C24" s="3" t="s">
        <v>76</v>
      </c>
      <c r="D24" s="117">
        <v>2025</v>
      </c>
      <c r="E24" s="118">
        <v>355.320007324219</v>
      </c>
      <c r="F24" s="118">
        <v>624.030029296875</v>
      </c>
      <c r="G24" s="118">
        <v>2141.0400390625</v>
      </c>
      <c r="H24" s="118">
        <v>531.669982910156</v>
      </c>
      <c r="I24" s="117">
        <v>1788</v>
      </c>
      <c r="J24" s="118">
        <v>682.5</v>
      </c>
      <c r="K24" s="22"/>
      <c r="L24" s="118">
        <v>4151.5</v>
      </c>
      <c r="M24" s="118">
        <v>2058.11010742188</v>
      </c>
      <c r="N24" s="118">
        <v>3441.06999206543</v>
      </c>
      <c r="O24" s="22"/>
      <c r="P24" s="117">
        <v>676</v>
      </c>
      <c r="Q24" s="121">
        <v>439.670013427734</v>
      </c>
      <c r="R24" s="121">
        <v>398.109985351563</v>
      </c>
      <c r="S24" s="118">
        <v>1438.07999992371</v>
      </c>
      <c r="T24" s="117">
        <v>177</v>
      </c>
      <c r="U24" s="118">
        <v>-52.7900009155273</v>
      </c>
      <c r="V24" s="118">
        <v>203.630004882813</v>
      </c>
      <c r="W24" s="118">
        <v>233.179996490479</v>
      </c>
      <c r="X24" s="3"/>
    </row>
    <row x14ac:dyDescent="0.25" r="25" customHeight="1" ht="17.25">
      <c r="A25" s="3" t="s">
        <v>56</v>
      </c>
      <c r="B25" s="3" t="s">
        <v>75</v>
      </c>
      <c r="C25" s="3" t="s">
        <v>76</v>
      </c>
      <c r="D25" s="22" t="s">
        <v>59</v>
      </c>
      <c r="E25" s="119">
        <v>-0.74</v>
      </c>
      <c r="F25" s="119">
        <v>-0.71</v>
      </c>
      <c r="G25" s="119">
        <v>-0.71</v>
      </c>
      <c r="H25" s="119">
        <v>-0.79</v>
      </c>
      <c r="I25" s="119">
        <v>-0.79</v>
      </c>
      <c r="J25" s="119">
        <v>-0.8</v>
      </c>
      <c r="K25" s="22" t="s">
        <v>60</v>
      </c>
      <c r="L25" s="119">
        <v>-0.55</v>
      </c>
      <c r="M25" s="119">
        <v>-0.46</v>
      </c>
      <c r="N25" s="119">
        <v>-0.71</v>
      </c>
      <c r="O25" s="22" t="s">
        <v>60</v>
      </c>
      <c r="P25" s="119">
        <v>-0.62</v>
      </c>
      <c r="Q25" s="119">
        <v>4.53</v>
      </c>
      <c r="R25" s="119">
        <v>-0.46</v>
      </c>
      <c r="S25" s="119">
        <v>-0.72</v>
      </c>
      <c r="T25" s="119">
        <v>-0.63</v>
      </c>
      <c r="U25" s="120" t="s">
        <v>60</v>
      </c>
      <c r="V25" s="119">
        <v>-0.82</v>
      </c>
      <c r="W25" s="119">
        <v>-0.93</v>
      </c>
      <c r="X25" s="3"/>
    </row>
    <row x14ac:dyDescent="0.25" r="26" customHeight="1" ht="17.25">
      <c r="A26" s="3" t="s">
        <v>56</v>
      </c>
      <c r="B26" s="3" t="s">
        <v>78</v>
      </c>
      <c r="C26" s="3" t="s">
        <v>79</v>
      </c>
      <c r="D26" s="117">
        <v>2024</v>
      </c>
      <c r="E26" s="29"/>
      <c r="F26" s="29"/>
      <c r="G26" s="29"/>
      <c r="H26" s="29"/>
      <c r="I26" s="29"/>
      <c r="J26" s="29"/>
      <c r="K26" s="22"/>
      <c r="L26" s="29"/>
      <c r="M26" s="29"/>
      <c r="N26" s="29"/>
      <c r="O26" s="22"/>
      <c r="P26" s="29"/>
      <c r="Q26" s="29"/>
      <c r="R26" s="29"/>
      <c r="S26" s="29"/>
      <c r="T26" s="29"/>
      <c r="U26" s="29"/>
      <c r="V26" s="29"/>
      <c r="W26" s="29"/>
      <c r="X26" s="3"/>
    </row>
    <row x14ac:dyDescent="0.25" r="27" customHeight="1" ht="17.25">
      <c r="A27" s="3" t="s">
        <v>56</v>
      </c>
      <c r="B27" s="3" t="s">
        <v>78</v>
      </c>
      <c r="C27" s="3" t="s">
        <v>79</v>
      </c>
      <c r="D27" s="117">
        <v>2025</v>
      </c>
      <c r="E27" s="29"/>
      <c r="F27" s="29"/>
      <c r="G27" s="29"/>
      <c r="H27" s="29"/>
      <c r="I27" s="29"/>
      <c r="J27" s="29"/>
      <c r="K27" s="22"/>
      <c r="L27" s="29"/>
      <c r="M27" s="29"/>
      <c r="N27" s="29"/>
      <c r="O27" s="22"/>
      <c r="P27" s="29"/>
      <c r="Q27" s="29"/>
      <c r="R27" s="29"/>
      <c r="S27" s="29"/>
      <c r="T27" s="29"/>
      <c r="U27" s="29"/>
      <c r="V27" s="29"/>
      <c r="W27" s="29"/>
      <c r="X27" s="3"/>
    </row>
    <row x14ac:dyDescent="0.25" r="28" customHeight="1" ht="17.25">
      <c r="A28" s="3" t="s">
        <v>56</v>
      </c>
      <c r="B28" s="3" t="s">
        <v>78</v>
      </c>
      <c r="C28" s="3" t="s">
        <v>79</v>
      </c>
      <c r="D28" s="22" t="s">
        <v>59</v>
      </c>
      <c r="E28" s="120" t="s">
        <v>60</v>
      </c>
      <c r="F28" s="120" t="s">
        <v>60</v>
      </c>
      <c r="G28" s="120" t="s">
        <v>60</v>
      </c>
      <c r="H28" s="120" t="s">
        <v>60</v>
      </c>
      <c r="I28" s="120" t="s">
        <v>60</v>
      </c>
      <c r="J28" s="120" t="s">
        <v>60</v>
      </c>
      <c r="K28" s="22" t="s">
        <v>60</v>
      </c>
      <c r="L28" s="120" t="s">
        <v>60</v>
      </c>
      <c r="M28" s="120" t="s">
        <v>60</v>
      </c>
      <c r="N28" s="120" t="s">
        <v>60</v>
      </c>
      <c r="O28" s="22" t="s">
        <v>60</v>
      </c>
      <c r="P28" s="120" t="s">
        <v>60</v>
      </c>
      <c r="Q28" s="120" t="s">
        <v>60</v>
      </c>
      <c r="R28" s="120" t="s">
        <v>60</v>
      </c>
      <c r="S28" s="120" t="s">
        <v>60</v>
      </c>
      <c r="T28" s="120" t="s">
        <v>60</v>
      </c>
      <c r="U28" s="120" t="s">
        <v>60</v>
      </c>
      <c r="V28" s="120" t="s">
        <v>60</v>
      </c>
      <c r="W28" s="120" t="s">
        <v>60</v>
      </c>
      <c r="X28" s="3"/>
    </row>
    <row x14ac:dyDescent="0.25" r="29" customHeight="1" ht="17.25">
      <c r="A29" s="3" t="s">
        <v>56</v>
      </c>
      <c r="B29" s="3" t="s">
        <v>81</v>
      </c>
      <c r="C29" s="3" t="s">
        <v>82</v>
      </c>
      <c r="D29" s="117">
        <v>2024</v>
      </c>
      <c r="E29" s="118">
        <v>1698.19995117188</v>
      </c>
      <c r="F29" s="118">
        <v>2836.5</v>
      </c>
      <c r="G29" s="118">
        <v>7199.8701171875</v>
      </c>
      <c r="H29" s="118">
        <v>3171.669921875</v>
      </c>
      <c r="I29" s="117">
        <v>8556</v>
      </c>
      <c r="J29" s="117">
        <v>2898</v>
      </c>
      <c r="K29" s="22"/>
      <c r="L29" s="118">
        <v>14444.75</v>
      </c>
      <c r="M29" s="118">
        <v>6128.509765625</v>
      </c>
      <c r="N29" s="118">
        <v>19936.7002563477</v>
      </c>
      <c r="O29" s="22"/>
      <c r="P29" s="118">
        <v>2249.01000976563</v>
      </c>
      <c r="Q29" s="118">
        <v>777.130004882813</v>
      </c>
      <c r="R29" s="118">
        <v>1401.85995101929</v>
      </c>
      <c r="S29" s="118">
        <v>9742.47998046875</v>
      </c>
      <c r="T29" s="118">
        <v>1170.17004394531</v>
      </c>
      <c r="U29" s="118">
        <v>45.25</v>
      </c>
      <c r="V29" s="118">
        <v>2458.47998046875</v>
      </c>
      <c r="W29" s="118">
        <v>7595.27001953125</v>
      </c>
      <c r="X29" s="3"/>
    </row>
    <row x14ac:dyDescent="0.25" r="30" customHeight="1" ht="17.25">
      <c r="A30" s="3" t="s">
        <v>56</v>
      </c>
      <c r="B30" s="3" t="s">
        <v>81</v>
      </c>
      <c r="C30" s="3" t="s">
        <v>82</v>
      </c>
      <c r="D30" s="117">
        <v>2025</v>
      </c>
      <c r="E30" s="118">
        <v>634.5</v>
      </c>
      <c r="F30" s="118">
        <v>1134.59997558594</v>
      </c>
      <c r="G30" s="118">
        <v>1314.5</v>
      </c>
      <c r="H30" s="117">
        <v>1320</v>
      </c>
      <c r="I30" s="118">
        <v>2222.580078125</v>
      </c>
      <c r="J30" s="117">
        <v>819</v>
      </c>
      <c r="K30" s="22"/>
      <c r="L30" s="118">
        <v>4270.25</v>
      </c>
      <c r="M30" s="118">
        <v>747.75</v>
      </c>
      <c r="N30" s="118">
        <v>5235.9501953125</v>
      </c>
      <c r="O30" s="22"/>
      <c r="P30" s="117">
        <v>780</v>
      </c>
      <c r="Q30" s="117">
        <v>352</v>
      </c>
      <c r="R30" s="118">
        <v>227.490005493164</v>
      </c>
      <c r="S30" s="117">
        <v>2350</v>
      </c>
      <c r="T30" s="117">
        <v>177</v>
      </c>
      <c r="U30" s="118">
        <v>-15.0799999237061</v>
      </c>
      <c r="V30" s="118">
        <v>550.530029296875</v>
      </c>
      <c r="W30" s="118">
        <v>1141.11001586914</v>
      </c>
      <c r="X30" s="3"/>
    </row>
    <row x14ac:dyDescent="0.25" r="31" customHeight="1" ht="17.25">
      <c r="A31" s="3" t="s">
        <v>56</v>
      </c>
      <c r="B31" s="3" t="s">
        <v>81</v>
      </c>
      <c r="C31" s="3" t="s">
        <v>82</v>
      </c>
      <c r="D31" s="22" t="s">
        <v>59</v>
      </c>
      <c r="E31" s="119">
        <v>-0.63</v>
      </c>
      <c r="F31" s="119">
        <v>-0.6</v>
      </c>
      <c r="G31" s="119">
        <v>-0.82</v>
      </c>
      <c r="H31" s="119">
        <v>-0.58</v>
      </c>
      <c r="I31" s="119">
        <v>-0.74</v>
      </c>
      <c r="J31" s="119">
        <v>-0.72</v>
      </c>
      <c r="K31" s="22" t="s">
        <v>60</v>
      </c>
      <c r="L31" s="119">
        <v>-0.7</v>
      </c>
      <c r="M31" s="119">
        <v>-0.88</v>
      </c>
      <c r="N31" s="119">
        <v>-0.74</v>
      </c>
      <c r="O31" s="22" t="s">
        <v>60</v>
      </c>
      <c r="P31" s="119">
        <v>-0.65</v>
      </c>
      <c r="Q31" s="119">
        <v>-0.55</v>
      </c>
      <c r="R31" s="119">
        <v>-0.84</v>
      </c>
      <c r="S31" s="119">
        <v>-0.76</v>
      </c>
      <c r="T31" s="119">
        <v>-0.85</v>
      </c>
      <c r="U31" s="119">
        <v>-1.33</v>
      </c>
      <c r="V31" s="119">
        <v>-0.78</v>
      </c>
      <c r="W31" s="119">
        <v>-0.85</v>
      </c>
      <c r="X31" s="3"/>
    </row>
    <row x14ac:dyDescent="0.25" r="32" customHeight="1" ht="17.25">
      <c r="A32" s="3" t="s">
        <v>56</v>
      </c>
      <c r="B32" s="3" t="s">
        <v>85</v>
      </c>
      <c r="C32" s="3" t="s">
        <v>86</v>
      </c>
      <c r="D32" s="117">
        <v>2024</v>
      </c>
      <c r="E32" s="118">
        <v>456.839996337891</v>
      </c>
      <c r="F32" s="118">
        <v>907.679992675781</v>
      </c>
      <c r="G32" s="118">
        <v>4461.330078125</v>
      </c>
      <c r="H32" s="117">
        <v>3300</v>
      </c>
      <c r="I32" s="117">
        <v>3450</v>
      </c>
      <c r="J32" s="117">
        <v>3507</v>
      </c>
      <c r="K32" s="22"/>
      <c r="L32" s="118">
        <v>5267.75</v>
      </c>
      <c r="M32" s="118">
        <v>2806.10009765625</v>
      </c>
      <c r="N32" s="118">
        <v>11253.25</v>
      </c>
      <c r="O32" s="22"/>
      <c r="P32" s="117">
        <v>884</v>
      </c>
      <c r="Q32" s="118">
        <v>95.3099975585938</v>
      </c>
      <c r="R32" s="118">
        <v>1820.27001953125</v>
      </c>
      <c r="S32" s="117">
        <v>4890</v>
      </c>
      <c r="T32" s="118">
        <v>580.169982910156</v>
      </c>
      <c r="U32" s="118">
        <v>-45.25</v>
      </c>
      <c r="V32" s="121">
        <v>1131.07995605469</v>
      </c>
      <c r="W32" s="118">
        <v>2270.80004882813</v>
      </c>
      <c r="X32" s="3"/>
    </row>
    <row x14ac:dyDescent="0.25" r="33" customHeight="1" ht="17.25">
      <c r="A33" s="3" t="s">
        <v>56</v>
      </c>
      <c r="B33" s="3" t="s">
        <v>85</v>
      </c>
      <c r="C33" s="3" t="s">
        <v>86</v>
      </c>
      <c r="D33" s="117">
        <v>2025</v>
      </c>
      <c r="E33" s="118">
        <v>203.039993286133</v>
      </c>
      <c r="F33" s="118">
        <v>567.299987792969</v>
      </c>
      <c r="G33" s="117">
        <v>956</v>
      </c>
      <c r="H33" s="117">
        <v>990</v>
      </c>
      <c r="I33" s="118">
        <v>1403.07995605469</v>
      </c>
      <c r="J33" s="117">
        <v>546</v>
      </c>
      <c r="K33" s="22"/>
      <c r="L33" s="118">
        <v>1819.25</v>
      </c>
      <c r="M33" s="118">
        <v>1102.31994628906</v>
      </c>
      <c r="N33" s="118">
        <v>5099.97998046875</v>
      </c>
      <c r="O33" s="22"/>
      <c r="P33" s="118">
        <v>589.330017089844</v>
      </c>
      <c r="Q33" s="118">
        <v>337.329986572266</v>
      </c>
      <c r="R33" s="121">
        <v>-22.7600002288818</v>
      </c>
      <c r="S33" s="117">
        <v>470</v>
      </c>
      <c r="T33" s="117">
        <v>295</v>
      </c>
      <c r="U33" s="118">
        <v>-7.53999996185303</v>
      </c>
      <c r="V33" s="118">
        <v>143.279998779297</v>
      </c>
      <c r="W33" s="29"/>
      <c r="X33" s="3"/>
    </row>
    <row x14ac:dyDescent="0.25" r="34" customHeight="1" ht="17.25">
      <c r="A34" s="3" t="s">
        <v>56</v>
      </c>
      <c r="B34" s="3" t="s">
        <v>85</v>
      </c>
      <c r="C34" s="3" t="s">
        <v>86</v>
      </c>
      <c r="D34" s="22" t="s">
        <v>59</v>
      </c>
      <c r="E34" s="119">
        <v>-0.56</v>
      </c>
      <c r="F34" s="119">
        <v>-0.38</v>
      </c>
      <c r="G34" s="119">
        <v>-0.79</v>
      </c>
      <c r="H34" s="119">
        <v>-0.7</v>
      </c>
      <c r="I34" s="119">
        <v>-0.59</v>
      </c>
      <c r="J34" s="119">
        <v>-0.84</v>
      </c>
      <c r="K34" s="22" t="s">
        <v>60</v>
      </c>
      <c r="L34" s="119">
        <v>-0.65</v>
      </c>
      <c r="M34" s="119">
        <v>-0.61</v>
      </c>
      <c r="N34" s="119">
        <v>-0.55</v>
      </c>
      <c r="O34" s="22" t="s">
        <v>60</v>
      </c>
      <c r="P34" s="119">
        <v>-0.33</v>
      </c>
      <c r="Q34" s="119">
        <v>2.54</v>
      </c>
      <c r="R34" s="119">
        <v>-1.01</v>
      </c>
      <c r="S34" s="119">
        <v>-0.9</v>
      </c>
      <c r="T34" s="119">
        <v>-0.49</v>
      </c>
      <c r="U34" s="119">
        <v>-0.83</v>
      </c>
      <c r="V34" s="119">
        <v>-0.87</v>
      </c>
      <c r="W34" s="119">
        <v>-1</v>
      </c>
      <c r="X34" s="3"/>
    </row>
    <row x14ac:dyDescent="0.25" r="35" customHeight="1" ht="17.25">
      <c r="A35" s="3" t="s">
        <v>56</v>
      </c>
      <c r="B35" s="3" t="s">
        <v>87</v>
      </c>
      <c r="C35" s="3" t="s">
        <v>88</v>
      </c>
      <c r="D35" s="117">
        <v>2024</v>
      </c>
      <c r="E35" s="29"/>
      <c r="F35" s="29"/>
      <c r="G35" s="29"/>
      <c r="H35" s="29"/>
      <c r="I35" s="29"/>
      <c r="J35" s="29"/>
      <c r="K35" s="22"/>
      <c r="L35" s="29"/>
      <c r="M35" s="29"/>
      <c r="N35" s="29"/>
      <c r="O35" s="22"/>
      <c r="P35" s="29"/>
      <c r="Q35" s="29"/>
      <c r="R35" s="29"/>
      <c r="S35" s="29"/>
      <c r="T35" s="29"/>
      <c r="U35" s="29"/>
      <c r="V35" s="29"/>
      <c r="W35" s="29"/>
      <c r="X35" s="3"/>
    </row>
    <row x14ac:dyDescent="0.25" r="36" customHeight="1" ht="17.25">
      <c r="A36" s="3" t="s">
        <v>56</v>
      </c>
      <c r="B36" s="3" t="s">
        <v>87</v>
      </c>
      <c r="C36" s="3" t="s">
        <v>89</v>
      </c>
      <c r="D36" s="117">
        <v>2025</v>
      </c>
      <c r="E36" s="118">
        <v>177.660003662109</v>
      </c>
      <c r="F36" s="118">
        <v>283.649993896484</v>
      </c>
      <c r="G36" s="118">
        <v>2011.57995605469</v>
      </c>
      <c r="H36" s="117">
        <v>1650</v>
      </c>
      <c r="I36" s="118">
        <v>-37.25</v>
      </c>
      <c r="J36" s="118">
        <v>1501.5</v>
      </c>
      <c r="K36" s="22"/>
      <c r="L36" s="118">
        <v>2417.75</v>
      </c>
      <c r="M36" s="118">
        <v>878.75</v>
      </c>
      <c r="N36" s="118">
        <v>8681.330078125</v>
      </c>
      <c r="O36" s="22"/>
      <c r="P36" s="118">
        <v>654.330017089844</v>
      </c>
      <c r="Q36" s="121">
        <v>168.669998168945</v>
      </c>
      <c r="R36" s="118">
        <v>1069.23999023438</v>
      </c>
      <c r="S36" s="117">
        <v>3010</v>
      </c>
      <c r="T36" s="118">
        <v>398.25</v>
      </c>
      <c r="U36" s="29"/>
      <c r="V36" s="118">
        <v>1214.2099609375</v>
      </c>
      <c r="W36" s="118">
        <v>5443.83984375</v>
      </c>
      <c r="X36" s="3"/>
    </row>
    <row x14ac:dyDescent="0.25" r="37" customHeight="1" ht="17.25">
      <c r="A37" s="3" t="s">
        <v>56</v>
      </c>
      <c r="B37" s="3" t="s">
        <v>87</v>
      </c>
      <c r="C37" s="3" t="s">
        <v>89</v>
      </c>
      <c r="D37" s="22" t="s">
        <v>59</v>
      </c>
      <c r="E37" s="120" t="s">
        <v>60</v>
      </c>
      <c r="F37" s="120" t="s">
        <v>60</v>
      </c>
      <c r="G37" s="120" t="s">
        <v>60</v>
      </c>
      <c r="H37" s="120" t="s">
        <v>60</v>
      </c>
      <c r="I37" s="120" t="s">
        <v>60</v>
      </c>
      <c r="J37" s="120" t="s">
        <v>60</v>
      </c>
      <c r="K37" s="22" t="s">
        <v>60</v>
      </c>
      <c r="L37" s="120" t="s">
        <v>60</v>
      </c>
      <c r="M37" s="120" t="s">
        <v>60</v>
      </c>
      <c r="N37" s="120" t="s">
        <v>60</v>
      </c>
      <c r="O37" s="22" t="s">
        <v>60</v>
      </c>
      <c r="P37" s="120" t="s">
        <v>60</v>
      </c>
      <c r="Q37" s="120" t="s">
        <v>60</v>
      </c>
      <c r="R37" s="120" t="s">
        <v>60</v>
      </c>
      <c r="S37" s="120" t="s">
        <v>60</v>
      </c>
      <c r="T37" s="120" t="s">
        <v>60</v>
      </c>
      <c r="U37" s="120" t="s">
        <v>60</v>
      </c>
      <c r="V37" s="120" t="s">
        <v>60</v>
      </c>
      <c r="W37" s="120" t="s">
        <v>60</v>
      </c>
      <c r="X37" s="3"/>
    </row>
    <row x14ac:dyDescent="0.25" r="38" customHeight="1" ht="17.25">
      <c r="A38" s="3" t="s">
        <v>56</v>
      </c>
      <c r="B38" s="3" t="s">
        <v>90</v>
      </c>
      <c r="C38" s="3" t="s">
        <v>91</v>
      </c>
      <c r="D38" s="117">
        <v>2024</v>
      </c>
      <c r="E38" s="118">
        <v>761.400024414063</v>
      </c>
      <c r="F38" s="118">
        <v>1474.97998046875</v>
      </c>
      <c r="G38" s="118">
        <v>1772.57995605469</v>
      </c>
      <c r="H38" s="117">
        <v>1980</v>
      </c>
      <c r="I38" s="117">
        <v>966</v>
      </c>
      <c r="J38" s="117">
        <v>1512</v>
      </c>
      <c r="K38" s="22"/>
      <c r="L38" s="118">
        <v>3700.25</v>
      </c>
      <c r="M38" s="118">
        <v>1587.91003417969</v>
      </c>
      <c r="N38" s="118">
        <v>8906.5595703125</v>
      </c>
      <c r="O38" s="22"/>
      <c r="P38" s="118">
        <v>801.669982910156</v>
      </c>
      <c r="Q38" s="118">
        <v>388.670013427734</v>
      </c>
      <c r="R38" s="118">
        <v>898.609985351563</v>
      </c>
      <c r="S38" s="118">
        <v>4178.5</v>
      </c>
      <c r="T38" s="117">
        <v>531</v>
      </c>
      <c r="U38" s="118">
        <v>90.5</v>
      </c>
      <c r="V38" s="118">
        <v>1764.76000976563</v>
      </c>
      <c r="W38" s="118">
        <v>3534.48010253906</v>
      </c>
      <c r="X38" s="3"/>
    </row>
    <row x14ac:dyDescent="0.25" r="39" customHeight="1" ht="17.25">
      <c r="A39" s="3" t="s">
        <v>56</v>
      </c>
      <c r="B39" s="3" t="s">
        <v>90</v>
      </c>
      <c r="C39" s="3" t="s">
        <v>91</v>
      </c>
      <c r="D39" s="117">
        <v>2025</v>
      </c>
      <c r="E39" s="118">
        <v>304.559997558594</v>
      </c>
      <c r="F39" s="118">
        <v>680.760009765625</v>
      </c>
      <c r="G39" s="117">
        <v>478</v>
      </c>
      <c r="H39" s="117">
        <v>440</v>
      </c>
      <c r="I39" s="117">
        <v>596</v>
      </c>
      <c r="J39" s="117">
        <v>546</v>
      </c>
      <c r="K39" s="22"/>
      <c r="L39" s="117">
        <v>1710</v>
      </c>
      <c r="M39" s="118">
        <v>786.25</v>
      </c>
      <c r="N39" s="118">
        <v>3932.669921875</v>
      </c>
      <c r="O39" s="22"/>
      <c r="P39" s="118">
        <v>337.989990234375</v>
      </c>
      <c r="Q39" s="117">
        <v>66</v>
      </c>
      <c r="R39" s="121">
        <v>398.119995117188</v>
      </c>
      <c r="S39" s="117">
        <v>1750</v>
      </c>
      <c r="T39" s="117">
        <v>295</v>
      </c>
      <c r="U39" s="29"/>
      <c r="V39" s="118">
        <v>814.5</v>
      </c>
      <c r="W39" s="118">
        <v>901.169982910156</v>
      </c>
      <c r="X39" s="3"/>
    </row>
    <row x14ac:dyDescent="0.25" r="40" customHeight="1" ht="17.25">
      <c r="A40" s="3" t="s">
        <v>56</v>
      </c>
      <c r="B40" s="3" t="s">
        <v>90</v>
      </c>
      <c r="C40" s="3" t="s">
        <v>91</v>
      </c>
      <c r="D40" s="22" t="s">
        <v>59</v>
      </c>
      <c r="E40" s="119">
        <v>-0.6</v>
      </c>
      <c r="F40" s="119">
        <v>-0.54</v>
      </c>
      <c r="G40" s="119">
        <v>-0.73</v>
      </c>
      <c r="H40" s="119">
        <v>-0.78</v>
      </c>
      <c r="I40" s="119">
        <v>-0.38</v>
      </c>
      <c r="J40" s="119">
        <v>-0.64</v>
      </c>
      <c r="K40" s="22" t="s">
        <v>60</v>
      </c>
      <c r="L40" s="119">
        <v>-0.54</v>
      </c>
      <c r="M40" s="119">
        <v>-0.5</v>
      </c>
      <c r="N40" s="119">
        <v>-0.56</v>
      </c>
      <c r="O40" s="22" t="s">
        <v>60</v>
      </c>
      <c r="P40" s="119">
        <v>-0.58</v>
      </c>
      <c r="Q40" s="119">
        <v>-0.83</v>
      </c>
      <c r="R40" s="119">
        <v>-0.56</v>
      </c>
      <c r="S40" s="119">
        <v>-0.58</v>
      </c>
      <c r="T40" s="119">
        <v>-0.44</v>
      </c>
      <c r="U40" s="119">
        <v>-1</v>
      </c>
      <c r="V40" s="119">
        <v>-0.54</v>
      </c>
      <c r="W40" s="119">
        <v>-0.75</v>
      </c>
      <c r="X40" s="3"/>
    </row>
    <row x14ac:dyDescent="0.25" r="41" customHeight="1" ht="17.25">
      <c r="A41" s="3" t="s">
        <v>56</v>
      </c>
      <c r="B41" s="3" t="s">
        <v>92</v>
      </c>
      <c r="C41" s="3" t="s">
        <v>93</v>
      </c>
      <c r="D41" s="117">
        <v>2024</v>
      </c>
      <c r="E41" s="118">
        <v>304.559997558594</v>
      </c>
      <c r="F41" s="118">
        <v>510.570007324219</v>
      </c>
      <c r="G41" s="118">
        <v>2509.5</v>
      </c>
      <c r="H41" s="117">
        <v>770</v>
      </c>
      <c r="I41" s="118">
        <v>2886.5</v>
      </c>
      <c r="J41" s="117">
        <v>756</v>
      </c>
      <c r="K41" s="22"/>
      <c r="L41" s="118">
        <v>3348.75</v>
      </c>
      <c r="M41" s="118">
        <v>2019.57995605469</v>
      </c>
      <c r="N41" s="118">
        <v>9032.669921875</v>
      </c>
      <c r="O41" s="22"/>
      <c r="P41" s="117">
        <v>1131</v>
      </c>
      <c r="Q41" s="118">
        <v>80.6699981689453</v>
      </c>
      <c r="R41" s="117">
        <v>728</v>
      </c>
      <c r="S41" s="117">
        <v>4070</v>
      </c>
      <c r="T41" s="118">
        <v>231.080001831055</v>
      </c>
      <c r="U41" s="118">
        <v>-7.53999996185303</v>
      </c>
      <c r="V41" s="118">
        <v>1138.7900390625</v>
      </c>
      <c r="W41" s="118">
        <v>2102.10998535156</v>
      </c>
      <c r="X41" s="3"/>
    </row>
    <row x14ac:dyDescent="0.25" r="42" customHeight="1" ht="17.25">
      <c r="A42" s="3" t="s">
        <v>56</v>
      </c>
      <c r="B42" s="3" t="s">
        <v>92</v>
      </c>
      <c r="C42" s="3" t="s">
        <v>93</v>
      </c>
      <c r="D42" s="117">
        <v>2025</v>
      </c>
      <c r="E42" s="118">
        <v>126.900001525879</v>
      </c>
      <c r="F42" s="118">
        <v>340.380004882813</v>
      </c>
      <c r="G42" s="118">
        <v>836.5</v>
      </c>
      <c r="H42" s="117">
        <v>110</v>
      </c>
      <c r="I42" s="117">
        <v>1639</v>
      </c>
      <c r="J42" s="29"/>
      <c r="K42" s="22"/>
      <c r="L42" s="117">
        <v>1083</v>
      </c>
      <c r="M42" s="118">
        <v>516.460021972656</v>
      </c>
      <c r="N42" s="118">
        <v>1881.32995605469</v>
      </c>
      <c r="O42" s="22"/>
      <c r="P42" s="118">
        <v>203.669998168945</v>
      </c>
      <c r="Q42" s="118">
        <v>-14.6700000762939</v>
      </c>
      <c r="R42" s="118">
        <v>-113.75</v>
      </c>
      <c r="S42" s="117">
        <v>720</v>
      </c>
      <c r="T42" s="29"/>
      <c r="U42" s="29"/>
      <c r="V42" s="118">
        <v>-22.6200008392334</v>
      </c>
      <c r="W42" s="118">
        <v>1960.5</v>
      </c>
      <c r="X42" s="3"/>
    </row>
    <row x14ac:dyDescent="0.25" r="43" customHeight="1" ht="17.25">
      <c r="A43" s="3" t="s">
        <v>56</v>
      </c>
      <c r="B43" s="3" t="s">
        <v>92</v>
      </c>
      <c r="C43" s="3" t="s">
        <v>93</v>
      </c>
      <c r="D43" s="22" t="s">
        <v>59</v>
      </c>
      <c r="E43" s="119">
        <v>-0.58</v>
      </c>
      <c r="F43" s="119">
        <v>-0.33</v>
      </c>
      <c r="G43" s="119">
        <v>-0.67</v>
      </c>
      <c r="H43" s="119">
        <v>-0.86</v>
      </c>
      <c r="I43" s="119">
        <v>-0.43</v>
      </c>
      <c r="J43" s="119">
        <v>-1</v>
      </c>
      <c r="K43" s="22" t="s">
        <v>60</v>
      </c>
      <c r="L43" s="119">
        <v>-0.68</v>
      </c>
      <c r="M43" s="119">
        <v>-0.74</v>
      </c>
      <c r="N43" s="119">
        <v>-0.79</v>
      </c>
      <c r="O43" s="22" t="s">
        <v>60</v>
      </c>
      <c r="P43" s="119">
        <v>-0.82</v>
      </c>
      <c r="Q43" s="119">
        <v>-1.18</v>
      </c>
      <c r="R43" s="119">
        <v>-1.16</v>
      </c>
      <c r="S43" s="119">
        <v>-0.82</v>
      </c>
      <c r="T43" s="119">
        <v>-1</v>
      </c>
      <c r="U43" s="119">
        <v>-1</v>
      </c>
      <c r="V43" s="119">
        <v>-1.02</v>
      </c>
      <c r="W43" s="119">
        <v>-0.07</v>
      </c>
      <c r="X43" s="3"/>
    </row>
    <row x14ac:dyDescent="0.25" r="44" customHeight="1" ht="17.25">
      <c r="A44" s="3" t="s">
        <v>56</v>
      </c>
      <c r="B44" s="3" t="s">
        <v>94</v>
      </c>
      <c r="C44" s="3" t="s">
        <v>95</v>
      </c>
      <c r="D44" s="117">
        <v>2024</v>
      </c>
      <c r="E44" s="29"/>
      <c r="F44" s="29"/>
      <c r="G44" s="29"/>
      <c r="H44" s="29"/>
      <c r="I44" s="29"/>
      <c r="J44" s="29"/>
      <c r="K44" s="22"/>
      <c r="L44" s="29"/>
      <c r="M44" s="29"/>
      <c r="N44" s="29"/>
      <c r="O44" s="22"/>
      <c r="P44" s="29"/>
      <c r="Q44" s="29"/>
      <c r="R44" s="29"/>
      <c r="S44" s="29"/>
      <c r="T44" s="29"/>
      <c r="U44" s="29"/>
      <c r="V44" s="29"/>
      <c r="W44" s="29"/>
      <c r="X44" s="3"/>
    </row>
    <row x14ac:dyDescent="0.25" r="45" customHeight="1" ht="17.25">
      <c r="A45" s="3" t="s">
        <v>56</v>
      </c>
      <c r="B45" s="3" t="s">
        <v>94</v>
      </c>
      <c r="C45" s="3" t="s">
        <v>95</v>
      </c>
      <c r="D45" s="117">
        <v>2025</v>
      </c>
      <c r="E45" s="29"/>
      <c r="F45" s="29"/>
      <c r="G45" s="29"/>
      <c r="H45" s="29"/>
      <c r="I45" s="29"/>
      <c r="J45" s="29"/>
      <c r="K45" s="22"/>
      <c r="L45" s="29"/>
      <c r="M45" s="29"/>
      <c r="N45" s="29"/>
      <c r="O45" s="22"/>
      <c r="P45" s="29"/>
      <c r="Q45" s="121"/>
      <c r="R45" s="121"/>
      <c r="S45" s="29"/>
      <c r="T45" s="29"/>
      <c r="U45" s="29"/>
      <c r="V45" s="29"/>
      <c r="W45" s="29"/>
      <c r="X45" s="3"/>
    </row>
    <row x14ac:dyDescent="0.25" r="46" customHeight="1" ht="17.25">
      <c r="A46" s="3" t="s">
        <v>56</v>
      </c>
      <c r="B46" s="3" t="s">
        <v>94</v>
      </c>
      <c r="C46" s="3" t="s">
        <v>95</v>
      </c>
      <c r="D46" s="22" t="s">
        <v>59</v>
      </c>
      <c r="E46" s="120" t="s">
        <v>60</v>
      </c>
      <c r="F46" s="120" t="s">
        <v>60</v>
      </c>
      <c r="G46" s="120" t="s">
        <v>60</v>
      </c>
      <c r="H46" s="120" t="s">
        <v>60</v>
      </c>
      <c r="I46" s="120" t="s">
        <v>60</v>
      </c>
      <c r="J46" s="120" t="s">
        <v>60</v>
      </c>
      <c r="K46" s="22" t="s">
        <v>60</v>
      </c>
      <c r="L46" s="120" t="s">
        <v>60</v>
      </c>
      <c r="M46" s="120" t="s">
        <v>60</v>
      </c>
      <c r="N46" s="120" t="s">
        <v>60</v>
      </c>
      <c r="O46" s="22" t="s">
        <v>60</v>
      </c>
      <c r="P46" s="120" t="s">
        <v>60</v>
      </c>
      <c r="Q46" s="120" t="s">
        <v>60</v>
      </c>
      <c r="R46" s="120" t="s">
        <v>60</v>
      </c>
      <c r="S46" s="120" t="s">
        <v>60</v>
      </c>
      <c r="T46" s="120" t="s">
        <v>60</v>
      </c>
      <c r="U46" s="120" t="s">
        <v>60</v>
      </c>
      <c r="V46" s="120" t="s">
        <v>60</v>
      </c>
      <c r="W46" s="120" t="s">
        <v>60</v>
      </c>
      <c r="X46" s="3"/>
    </row>
    <row x14ac:dyDescent="0.25" r="47" customHeight="1" ht="17.25">
      <c r="A47" s="3" t="s">
        <v>56</v>
      </c>
      <c r="B47" s="3" t="s">
        <v>96</v>
      </c>
      <c r="C47" s="3" t="s">
        <v>97</v>
      </c>
      <c r="D47" s="117">
        <v>2024</v>
      </c>
      <c r="E47" s="118">
        <v>1318.63000488281</v>
      </c>
      <c r="F47" s="118">
        <v>1753.55004882813</v>
      </c>
      <c r="G47" s="118">
        <v>3684.580078125</v>
      </c>
      <c r="H47" s="117">
        <v>2090</v>
      </c>
      <c r="I47" s="118">
        <v>7302.5</v>
      </c>
      <c r="J47" s="117">
        <v>2268</v>
      </c>
      <c r="K47" s="22"/>
      <c r="L47" s="118">
        <v>11651.75</v>
      </c>
      <c r="M47" s="118">
        <v>7523.64013671875</v>
      </c>
      <c r="N47" s="118">
        <v>17634.580078125</v>
      </c>
      <c r="O47" s="22"/>
      <c r="P47" s="118">
        <v>2249.01000976563</v>
      </c>
      <c r="Q47" s="118">
        <v>278.630004882813</v>
      </c>
      <c r="R47" s="118">
        <v>1979.40002441406</v>
      </c>
      <c r="S47" s="118">
        <v>6678.5</v>
      </c>
      <c r="T47" s="118">
        <v>585.080017089844</v>
      </c>
      <c r="U47" s="118">
        <v>82.9599990844727</v>
      </c>
      <c r="V47" s="118">
        <v>2126.6298828125</v>
      </c>
      <c r="W47" s="118">
        <v>5510.75</v>
      </c>
      <c r="X47" s="3"/>
    </row>
    <row x14ac:dyDescent="0.25" r="48" customHeight="1" ht="17.25">
      <c r="A48" s="3" t="s">
        <v>56</v>
      </c>
      <c r="B48" s="3" t="s">
        <v>96</v>
      </c>
      <c r="C48" s="3" t="s">
        <v>97</v>
      </c>
      <c r="D48" s="117">
        <v>2025</v>
      </c>
      <c r="E48" s="118">
        <v>431.459991455078</v>
      </c>
      <c r="F48" s="118">
        <v>1018.59997558594</v>
      </c>
      <c r="G48" s="118">
        <v>1075.5</v>
      </c>
      <c r="H48" s="117">
        <v>660</v>
      </c>
      <c r="I48" s="117">
        <v>2235</v>
      </c>
      <c r="J48" s="118">
        <v>409.5</v>
      </c>
      <c r="K48" s="22"/>
      <c r="L48" s="117">
        <v>4199</v>
      </c>
      <c r="M48" s="118">
        <v>2929.26000976563</v>
      </c>
      <c r="N48" s="118">
        <v>5689.31005859375</v>
      </c>
      <c r="O48" s="22"/>
      <c r="P48" s="118">
        <v>762.669982910156</v>
      </c>
      <c r="Q48" s="118">
        <v>374.040008544922</v>
      </c>
      <c r="R48" s="118">
        <v>443.609985351563</v>
      </c>
      <c r="S48" s="117">
        <v>3390</v>
      </c>
      <c r="T48" s="118">
        <v>290.079986572266</v>
      </c>
      <c r="U48" s="118">
        <v>90.5</v>
      </c>
      <c r="V48" s="118">
        <v>822.02001953125</v>
      </c>
      <c r="W48" s="118">
        <v>4201.88000488281</v>
      </c>
      <c r="X48" s="3"/>
    </row>
    <row x14ac:dyDescent="0.25" r="49" customHeight="1" ht="17.25">
      <c r="A49" s="3" t="s">
        <v>56</v>
      </c>
      <c r="B49" s="3" t="s">
        <v>96</v>
      </c>
      <c r="C49" s="3" t="s">
        <v>97</v>
      </c>
      <c r="D49" s="22" t="s">
        <v>59</v>
      </c>
      <c r="E49" s="119">
        <v>-0.67</v>
      </c>
      <c r="F49" s="119">
        <v>-0.42</v>
      </c>
      <c r="G49" s="119">
        <v>-0.71</v>
      </c>
      <c r="H49" s="119">
        <v>-0.68</v>
      </c>
      <c r="I49" s="119">
        <v>-0.69</v>
      </c>
      <c r="J49" s="119">
        <v>-0.82</v>
      </c>
      <c r="K49" s="22" t="s">
        <v>60</v>
      </c>
      <c r="L49" s="119">
        <v>-0.64</v>
      </c>
      <c r="M49" s="119">
        <v>-0.61</v>
      </c>
      <c r="N49" s="119">
        <v>-0.68</v>
      </c>
      <c r="O49" s="22" t="s">
        <v>60</v>
      </c>
      <c r="P49" s="119">
        <v>-0.66</v>
      </c>
      <c r="Q49" s="119">
        <v>0.34</v>
      </c>
      <c r="R49" s="119">
        <v>-0.78</v>
      </c>
      <c r="S49" s="119">
        <v>-0.49</v>
      </c>
      <c r="T49" s="119">
        <v>-0.5</v>
      </c>
      <c r="U49" s="119">
        <v>0.09</v>
      </c>
      <c r="V49" s="119">
        <v>-0.61</v>
      </c>
      <c r="W49" s="119">
        <v>-0.24</v>
      </c>
      <c r="X49" s="3"/>
    </row>
    <row x14ac:dyDescent="0.25" r="50" customHeight="1" ht="17.25">
      <c r="A50" s="3" t="s">
        <v>56</v>
      </c>
      <c r="B50" s="3" t="s">
        <v>98</v>
      </c>
      <c r="C50" s="3" t="s">
        <v>99</v>
      </c>
      <c r="D50" s="117">
        <v>2024</v>
      </c>
      <c r="E50" s="29"/>
      <c r="F50" s="29"/>
      <c r="G50" s="29"/>
      <c r="H50" s="29"/>
      <c r="I50" s="29"/>
      <c r="J50" s="29"/>
      <c r="K50" s="22"/>
      <c r="L50" s="29"/>
      <c r="M50" s="29"/>
      <c r="N50" s="29"/>
      <c r="O50" s="22"/>
      <c r="P50" s="29"/>
      <c r="Q50" s="29"/>
      <c r="R50" s="29"/>
      <c r="S50" s="29"/>
      <c r="T50" s="29"/>
      <c r="U50" s="29"/>
      <c r="V50" s="29"/>
      <c r="W50" s="29"/>
      <c r="X50" s="3"/>
    </row>
    <row x14ac:dyDescent="0.25" r="51" customHeight="1" ht="17.25">
      <c r="A51" s="3" t="s">
        <v>56</v>
      </c>
      <c r="B51" s="3" t="s">
        <v>98</v>
      </c>
      <c r="C51" s="3" t="s">
        <v>99</v>
      </c>
      <c r="D51" s="117">
        <v>2025</v>
      </c>
      <c r="E51" s="29"/>
      <c r="F51" s="29"/>
      <c r="G51" s="29"/>
      <c r="H51" s="29"/>
      <c r="I51" s="29"/>
      <c r="J51" s="29"/>
      <c r="K51" s="22"/>
      <c r="L51" s="29"/>
      <c r="M51" s="29"/>
      <c r="N51" s="29"/>
      <c r="O51" s="22"/>
      <c r="P51" s="29"/>
      <c r="Q51" s="29"/>
      <c r="R51" s="121"/>
      <c r="S51" s="29"/>
      <c r="T51" s="29"/>
      <c r="U51" s="121"/>
      <c r="V51" s="29"/>
      <c r="W51" s="29"/>
      <c r="X51" s="3"/>
    </row>
    <row x14ac:dyDescent="0.25" r="52" customHeight="1" ht="17.25">
      <c r="A52" s="3" t="s">
        <v>56</v>
      </c>
      <c r="B52" s="3" t="s">
        <v>98</v>
      </c>
      <c r="C52" s="3" t="s">
        <v>99</v>
      </c>
      <c r="D52" s="22" t="s">
        <v>59</v>
      </c>
      <c r="E52" s="120" t="s">
        <v>60</v>
      </c>
      <c r="F52" s="120" t="s">
        <v>60</v>
      </c>
      <c r="G52" s="120" t="s">
        <v>60</v>
      </c>
      <c r="H52" s="120" t="s">
        <v>60</v>
      </c>
      <c r="I52" s="120" t="s">
        <v>60</v>
      </c>
      <c r="J52" s="120" t="s">
        <v>60</v>
      </c>
      <c r="K52" s="22" t="s">
        <v>60</v>
      </c>
      <c r="L52" s="120" t="s">
        <v>60</v>
      </c>
      <c r="M52" s="120" t="s">
        <v>60</v>
      </c>
      <c r="N52" s="120" t="s">
        <v>60</v>
      </c>
      <c r="O52" s="22" t="s">
        <v>60</v>
      </c>
      <c r="P52" s="120" t="s">
        <v>60</v>
      </c>
      <c r="Q52" s="120" t="s">
        <v>60</v>
      </c>
      <c r="R52" s="120" t="s">
        <v>60</v>
      </c>
      <c r="S52" s="120" t="s">
        <v>60</v>
      </c>
      <c r="T52" s="120" t="s">
        <v>60</v>
      </c>
      <c r="U52" s="120" t="s">
        <v>60</v>
      </c>
      <c r="V52" s="120" t="s">
        <v>60</v>
      </c>
      <c r="W52" s="120" t="s">
        <v>60</v>
      </c>
      <c r="X52" s="3"/>
    </row>
    <row x14ac:dyDescent="0.25" r="53" customHeight="1" ht="17.25">
      <c r="A53" s="3" t="s">
        <v>56</v>
      </c>
      <c r="B53" s="3" t="s">
        <v>100</v>
      </c>
      <c r="C53" s="3" t="s">
        <v>101</v>
      </c>
      <c r="D53" s="117">
        <v>2024</v>
      </c>
      <c r="E53" s="118">
        <v>1751.21997070313</v>
      </c>
      <c r="F53" s="118">
        <v>4303.85986328125</v>
      </c>
      <c r="G53" s="118">
        <v>8185.740234375</v>
      </c>
      <c r="H53" s="118">
        <v>1723.32995605469</v>
      </c>
      <c r="I53" s="118">
        <v>10476.5</v>
      </c>
      <c r="J53" s="117">
        <v>1365</v>
      </c>
      <c r="K53" s="22"/>
      <c r="L53" s="118">
        <v>15931.5</v>
      </c>
      <c r="M53" s="118">
        <v>8332.7197265625</v>
      </c>
      <c r="N53" s="118">
        <v>20239.83984375</v>
      </c>
      <c r="O53" s="22"/>
      <c r="P53" s="118">
        <v>3154.67993164063</v>
      </c>
      <c r="Q53" s="118">
        <v>743.019975662231</v>
      </c>
      <c r="R53" s="118">
        <v>1114.72998046875</v>
      </c>
      <c r="S53" s="118">
        <v>10903.8300018311</v>
      </c>
      <c r="T53" s="118">
        <v>1229.16003417969</v>
      </c>
      <c r="U53" s="121">
        <v>60.3400001525879</v>
      </c>
      <c r="V53" s="118">
        <v>3514.43994140625</v>
      </c>
      <c r="W53" s="118">
        <v>13137.009765625</v>
      </c>
      <c r="X53" s="3"/>
    </row>
    <row x14ac:dyDescent="0.25" r="54" customHeight="1" ht="17.25">
      <c r="A54" s="3" t="s">
        <v>56</v>
      </c>
      <c r="B54" s="3" t="s">
        <v>100</v>
      </c>
      <c r="C54" s="3" t="s">
        <v>101</v>
      </c>
      <c r="D54" s="117">
        <v>2025</v>
      </c>
      <c r="E54" s="118">
        <v>532.97998046875</v>
      </c>
      <c r="F54" s="118">
        <v>1529.17004394531</v>
      </c>
      <c r="G54" s="118">
        <v>1583.36999511719</v>
      </c>
      <c r="H54" s="117">
        <v>880</v>
      </c>
      <c r="I54" s="118">
        <v>2197.73999023438</v>
      </c>
      <c r="J54" s="118">
        <v>796.25</v>
      </c>
      <c r="K54" s="22"/>
      <c r="L54" s="118">
        <v>5576.5</v>
      </c>
      <c r="M54" s="117">
        <v>3330</v>
      </c>
      <c r="N54" s="118">
        <v>4384.580078125</v>
      </c>
      <c r="O54" s="22"/>
      <c r="P54" s="118">
        <v>1477.67004394531</v>
      </c>
      <c r="Q54" s="118">
        <v>637.420026779175</v>
      </c>
      <c r="R54" s="121">
        <v>671.119995117188</v>
      </c>
      <c r="S54" s="118">
        <v>3548.5</v>
      </c>
      <c r="T54" s="118">
        <v>408.079986572266</v>
      </c>
      <c r="U54" s="118">
        <v>82.9599990844727</v>
      </c>
      <c r="V54" s="118">
        <v>942.72998046875</v>
      </c>
      <c r="W54" s="118">
        <v>3442.96997070313</v>
      </c>
      <c r="X54" s="3"/>
    </row>
    <row x14ac:dyDescent="0.25" r="55" customHeight="1" ht="17.25">
      <c r="A55" s="3" t="s">
        <v>56</v>
      </c>
      <c r="B55" s="3" t="s">
        <v>100</v>
      </c>
      <c r="C55" s="3" t="s">
        <v>101</v>
      </c>
      <c r="D55" s="22" t="s">
        <v>59</v>
      </c>
      <c r="E55" s="119">
        <v>-0.7</v>
      </c>
      <c r="F55" s="119">
        <v>-0.64</v>
      </c>
      <c r="G55" s="119">
        <v>-0.81</v>
      </c>
      <c r="H55" s="119">
        <v>-0.49</v>
      </c>
      <c r="I55" s="119">
        <v>-0.79</v>
      </c>
      <c r="J55" s="119">
        <v>-0.42</v>
      </c>
      <c r="K55" s="22" t="s">
        <v>60</v>
      </c>
      <c r="L55" s="119">
        <v>-0.65</v>
      </c>
      <c r="M55" s="119">
        <v>-0.6</v>
      </c>
      <c r="N55" s="119">
        <v>-0.78</v>
      </c>
      <c r="O55" s="22" t="s">
        <v>60</v>
      </c>
      <c r="P55" s="119">
        <v>-0.53</v>
      </c>
      <c r="Q55" s="119">
        <v>-0.14</v>
      </c>
      <c r="R55" s="119">
        <v>-0.4</v>
      </c>
      <c r="S55" s="119">
        <v>-0.67</v>
      </c>
      <c r="T55" s="119">
        <v>-0.67</v>
      </c>
      <c r="U55" s="119">
        <v>0.37</v>
      </c>
      <c r="V55" s="119">
        <v>-0.73</v>
      </c>
      <c r="W55" s="119">
        <v>-0.74</v>
      </c>
      <c r="X55" s="3"/>
    </row>
    <row x14ac:dyDescent="0.25" r="56" customHeight="1" ht="17.25">
      <c r="A56" s="3" t="s">
        <v>56</v>
      </c>
      <c r="B56" s="3" t="s">
        <v>102</v>
      </c>
      <c r="C56" s="3" t="s">
        <v>103</v>
      </c>
      <c r="D56" s="117">
        <v>2024</v>
      </c>
      <c r="E56" s="118">
        <v>1340.63000488281</v>
      </c>
      <c r="F56" s="118">
        <v>2547.77001953125</v>
      </c>
      <c r="G56" s="118">
        <v>8793.2001953125</v>
      </c>
      <c r="H56" s="117">
        <v>3520</v>
      </c>
      <c r="I56" s="117">
        <v>12121</v>
      </c>
      <c r="J56" s="117">
        <v>3780</v>
      </c>
      <c r="K56" s="22"/>
      <c r="L56" s="118">
        <v>14102.75</v>
      </c>
      <c r="M56" s="118">
        <v>9265.5400390625</v>
      </c>
      <c r="N56" s="118">
        <v>21332.1794433594</v>
      </c>
      <c r="O56" s="22"/>
      <c r="P56" s="118">
        <v>2569.669921875</v>
      </c>
      <c r="Q56" s="118">
        <v>1851.51000976563</v>
      </c>
      <c r="R56" s="118">
        <v>659.780029296875</v>
      </c>
      <c r="S56" s="117">
        <v>12054</v>
      </c>
      <c r="T56" s="118">
        <v>1327.5</v>
      </c>
      <c r="U56" s="118">
        <v>263.899993896484</v>
      </c>
      <c r="V56" s="118">
        <v>2963.7900390625</v>
      </c>
      <c r="W56" s="118">
        <v>3731.74011230469</v>
      </c>
      <c r="X56" s="3"/>
    </row>
    <row x14ac:dyDescent="0.25" r="57" customHeight="1" ht="17.25">
      <c r="A57" s="3" t="s">
        <v>56</v>
      </c>
      <c r="B57" s="3" t="s">
        <v>102</v>
      </c>
      <c r="C57" s="3" t="s">
        <v>103</v>
      </c>
      <c r="D57" s="117">
        <v>2025</v>
      </c>
      <c r="E57" s="118">
        <v>501.970001220703</v>
      </c>
      <c r="F57" s="118">
        <v>1751.01000976563</v>
      </c>
      <c r="G57" s="118">
        <v>2240.6201171875</v>
      </c>
      <c r="H57" s="117">
        <v>1320</v>
      </c>
      <c r="I57" s="118">
        <v>3116.580078125</v>
      </c>
      <c r="J57" s="118">
        <v>409.5</v>
      </c>
      <c r="K57" s="22"/>
      <c r="L57" s="118">
        <v>4773.75</v>
      </c>
      <c r="M57" s="118">
        <v>3237.51000976563</v>
      </c>
      <c r="N57" s="118">
        <v>7060.72021484375</v>
      </c>
      <c r="O57" s="22"/>
      <c r="P57" s="118">
        <v>931.669982910156</v>
      </c>
      <c r="Q57" s="118">
        <v>351.989990234375</v>
      </c>
      <c r="R57" s="118">
        <v>1080.60998535156</v>
      </c>
      <c r="S57" s="118">
        <v>4028.5</v>
      </c>
      <c r="T57" s="117">
        <v>531</v>
      </c>
      <c r="U57" s="118">
        <v>173.479995727539</v>
      </c>
      <c r="V57" s="118">
        <v>950.22998046875</v>
      </c>
      <c r="W57" s="118">
        <v>841.409973144531</v>
      </c>
      <c r="X57" s="3"/>
    </row>
    <row x14ac:dyDescent="0.25" r="58" customHeight="1" ht="17.25">
      <c r="A58" s="3" t="s">
        <v>56</v>
      </c>
      <c r="B58" s="3" t="s">
        <v>102</v>
      </c>
      <c r="C58" s="3" t="s">
        <v>103</v>
      </c>
      <c r="D58" s="22" t="s">
        <v>59</v>
      </c>
      <c r="E58" s="119">
        <v>-0.63</v>
      </c>
      <c r="F58" s="119">
        <v>-0.31</v>
      </c>
      <c r="G58" s="119">
        <v>-0.75</v>
      </c>
      <c r="H58" s="119">
        <v>-0.63</v>
      </c>
      <c r="I58" s="119">
        <v>-0.74</v>
      </c>
      <c r="J58" s="119">
        <v>-0.89</v>
      </c>
      <c r="K58" s="22" t="s">
        <v>60</v>
      </c>
      <c r="L58" s="119">
        <v>-0.66</v>
      </c>
      <c r="M58" s="119">
        <v>-0.65</v>
      </c>
      <c r="N58" s="119">
        <v>-0.67</v>
      </c>
      <c r="O58" s="22" t="s">
        <v>60</v>
      </c>
      <c r="P58" s="119">
        <v>-0.64</v>
      </c>
      <c r="Q58" s="119">
        <v>-0.81</v>
      </c>
      <c r="R58" s="119">
        <v>0.64</v>
      </c>
      <c r="S58" s="119">
        <v>-0.67</v>
      </c>
      <c r="T58" s="119">
        <v>-0.6</v>
      </c>
      <c r="U58" s="119">
        <v>-0.34</v>
      </c>
      <c r="V58" s="119">
        <v>-0.68</v>
      </c>
      <c r="W58" s="119">
        <v>-0.77</v>
      </c>
      <c r="X58" s="3"/>
    </row>
    <row x14ac:dyDescent="0.25" r="59" customHeight="1" ht="17.25">
      <c r="A59" s="3" t="s">
        <v>56</v>
      </c>
      <c r="B59" s="3" t="s">
        <v>105</v>
      </c>
      <c r="C59" s="3" t="s">
        <v>106</v>
      </c>
      <c r="D59" s="117">
        <v>2024</v>
      </c>
      <c r="E59" s="29"/>
      <c r="F59" s="29"/>
      <c r="G59" s="29"/>
      <c r="H59" s="29"/>
      <c r="I59" s="29"/>
      <c r="J59" s="29"/>
      <c r="K59" s="22"/>
      <c r="L59" s="29"/>
      <c r="M59" s="29"/>
      <c r="N59" s="29"/>
      <c r="O59" s="22"/>
      <c r="P59" s="29"/>
      <c r="Q59" s="29"/>
      <c r="R59" s="29"/>
      <c r="S59" s="29"/>
      <c r="T59" s="29"/>
      <c r="U59" s="29"/>
      <c r="V59" s="29"/>
      <c r="W59" s="29"/>
      <c r="X59" s="3"/>
    </row>
    <row x14ac:dyDescent="0.25" r="60" customHeight="1" ht="17.25">
      <c r="A60" s="3" t="s">
        <v>56</v>
      </c>
      <c r="B60" s="3" t="s">
        <v>105</v>
      </c>
      <c r="C60" s="3" t="s">
        <v>106</v>
      </c>
      <c r="D60" s="117">
        <v>2025</v>
      </c>
      <c r="E60" s="29"/>
      <c r="F60" s="29"/>
      <c r="G60" s="29"/>
      <c r="H60" s="29"/>
      <c r="I60" s="29"/>
      <c r="J60" s="29"/>
      <c r="K60" s="22"/>
      <c r="L60" s="29"/>
      <c r="M60" s="29"/>
      <c r="N60" s="29"/>
      <c r="O60" s="22"/>
      <c r="P60" s="29"/>
      <c r="Q60" s="29"/>
      <c r="R60" s="29"/>
      <c r="S60" s="29"/>
      <c r="T60" s="29"/>
      <c r="U60" s="121"/>
      <c r="V60" s="29"/>
      <c r="W60" s="29"/>
      <c r="X60" s="3"/>
    </row>
    <row x14ac:dyDescent="0.25" r="61" customHeight="1" ht="17.25">
      <c r="A61" s="3" t="s">
        <v>56</v>
      </c>
      <c r="B61" s="3" t="s">
        <v>105</v>
      </c>
      <c r="C61" s="3" t="s">
        <v>106</v>
      </c>
      <c r="D61" s="22" t="s">
        <v>59</v>
      </c>
      <c r="E61" s="120" t="s">
        <v>60</v>
      </c>
      <c r="F61" s="120" t="s">
        <v>60</v>
      </c>
      <c r="G61" s="120" t="s">
        <v>60</v>
      </c>
      <c r="H61" s="120" t="s">
        <v>60</v>
      </c>
      <c r="I61" s="120" t="s">
        <v>60</v>
      </c>
      <c r="J61" s="120" t="s">
        <v>60</v>
      </c>
      <c r="K61" s="22" t="s">
        <v>60</v>
      </c>
      <c r="L61" s="120" t="s">
        <v>60</v>
      </c>
      <c r="M61" s="120" t="s">
        <v>60</v>
      </c>
      <c r="N61" s="120" t="s">
        <v>60</v>
      </c>
      <c r="O61" s="22" t="s">
        <v>60</v>
      </c>
      <c r="P61" s="120" t="s">
        <v>60</v>
      </c>
      <c r="Q61" s="120" t="s">
        <v>60</v>
      </c>
      <c r="R61" s="120" t="s">
        <v>60</v>
      </c>
      <c r="S61" s="120" t="s">
        <v>60</v>
      </c>
      <c r="T61" s="120" t="s">
        <v>60</v>
      </c>
      <c r="U61" s="120" t="s">
        <v>60</v>
      </c>
      <c r="V61" s="120" t="s">
        <v>60</v>
      </c>
      <c r="W61" s="120" t="s">
        <v>60</v>
      </c>
      <c r="X61" s="3"/>
    </row>
    <row x14ac:dyDescent="0.25" r="62" customHeight="1" ht="17.25">
      <c r="A62" s="3" t="s">
        <v>56</v>
      </c>
      <c r="B62" s="3" t="s">
        <v>107</v>
      </c>
      <c r="C62" s="3" t="s">
        <v>108</v>
      </c>
      <c r="D62" s="117">
        <v>2024</v>
      </c>
      <c r="E62" s="118">
        <v>1318.63000488281</v>
      </c>
      <c r="F62" s="118">
        <v>3347.07006835938</v>
      </c>
      <c r="G62" s="118">
        <v>5028.93994140625</v>
      </c>
      <c r="H62" s="118">
        <v>4381.669921875</v>
      </c>
      <c r="I62" s="118">
        <v>6336.5</v>
      </c>
      <c r="J62" s="117">
        <v>4368</v>
      </c>
      <c r="K62" s="22"/>
      <c r="L62" s="118">
        <v>11490.25</v>
      </c>
      <c r="M62" s="118">
        <v>6444.22998046875</v>
      </c>
      <c r="N62" s="118">
        <v>22247.0703125</v>
      </c>
      <c r="O62" s="22"/>
      <c r="P62" s="118">
        <v>1863.32995605469</v>
      </c>
      <c r="Q62" s="118">
        <v>381.299987792969</v>
      </c>
      <c r="R62" s="118">
        <v>1660.76000976563</v>
      </c>
      <c r="S62" s="117">
        <v>8810</v>
      </c>
      <c r="T62" s="118">
        <v>575.25</v>
      </c>
      <c r="U62" s="118">
        <v>113.129997253418</v>
      </c>
      <c r="V62" s="118">
        <v>2858.21997070313</v>
      </c>
      <c r="W62" s="118">
        <v>3760.45002937317</v>
      </c>
      <c r="X62" s="3"/>
    </row>
    <row x14ac:dyDescent="0.25" r="63" customHeight="1" ht="17.25">
      <c r="A63" s="3" t="s">
        <v>56</v>
      </c>
      <c r="B63" s="3" t="s">
        <v>107</v>
      </c>
      <c r="C63" s="3" t="s">
        <v>108</v>
      </c>
      <c r="D63" s="117">
        <v>2025</v>
      </c>
      <c r="E63" s="118">
        <v>276.929992675781</v>
      </c>
      <c r="F63" s="118">
        <v>1418.25</v>
      </c>
      <c r="G63" s="118">
        <v>1404.11999511719</v>
      </c>
      <c r="H63" s="117">
        <v>1980</v>
      </c>
      <c r="I63" s="117">
        <v>596</v>
      </c>
      <c r="J63" s="118">
        <v>2024.75</v>
      </c>
      <c r="K63" s="22"/>
      <c r="L63" s="118">
        <v>4607.5</v>
      </c>
      <c r="M63" s="118">
        <v>3553.5400390625</v>
      </c>
      <c r="N63" s="118">
        <v>8159.9501953125</v>
      </c>
      <c r="O63" s="22"/>
      <c r="P63" s="118">
        <v>658.669982910156</v>
      </c>
      <c r="Q63" s="118">
        <v>227.330001831055</v>
      </c>
      <c r="R63" s="121">
        <v>864.570007324219</v>
      </c>
      <c r="S63" s="117">
        <v>1830</v>
      </c>
      <c r="T63" s="118">
        <v>452.329986572266</v>
      </c>
      <c r="U63" s="117">
        <v>181</v>
      </c>
      <c r="V63" s="118">
        <v>814.47998046875</v>
      </c>
      <c r="W63" s="118">
        <v>1111.5</v>
      </c>
      <c r="X63" s="3"/>
    </row>
    <row x14ac:dyDescent="0.25" r="64" customHeight="1" ht="17.25">
      <c r="A64" s="3" t="s">
        <v>56</v>
      </c>
      <c r="B64" s="3" t="s">
        <v>107</v>
      </c>
      <c r="C64" s="3" t="s">
        <v>108</v>
      </c>
      <c r="D64" s="22" t="s">
        <v>59</v>
      </c>
      <c r="E64" s="119">
        <v>-0.79</v>
      </c>
      <c r="F64" s="119">
        <v>-0.58</v>
      </c>
      <c r="G64" s="119">
        <v>-0.72</v>
      </c>
      <c r="H64" s="119">
        <v>-0.55</v>
      </c>
      <c r="I64" s="119">
        <v>-0.91</v>
      </c>
      <c r="J64" s="119">
        <v>-0.54</v>
      </c>
      <c r="K64" s="22" t="s">
        <v>60</v>
      </c>
      <c r="L64" s="119">
        <v>-0.6</v>
      </c>
      <c r="M64" s="119">
        <v>-0.45</v>
      </c>
      <c r="N64" s="119">
        <v>-0.63</v>
      </c>
      <c r="O64" s="22" t="s">
        <v>60</v>
      </c>
      <c r="P64" s="119">
        <v>-0.65</v>
      </c>
      <c r="Q64" s="119">
        <v>-0.4</v>
      </c>
      <c r="R64" s="119">
        <v>-0.48</v>
      </c>
      <c r="S64" s="119">
        <v>-0.79</v>
      </c>
      <c r="T64" s="119">
        <v>-0.21</v>
      </c>
      <c r="U64" s="119">
        <v>0.6</v>
      </c>
      <c r="V64" s="119">
        <v>-0.72</v>
      </c>
      <c r="W64" s="119">
        <v>-0.7</v>
      </c>
      <c r="X64" s="3"/>
    </row>
    <row x14ac:dyDescent="0.25" r="65" customHeight="1" ht="17.25">
      <c r="A65" s="3" t="s">
        <v>56</v>
      </c>
      <c r="B65" s="3" t="s">
        <v>109</v>
      </c>
      <c r="C65" s="3" t="s">
        <v>110</v>
      </c>
      <c r="D65" s="117">
        <v>2024</v>
      </c>
      <c r="E65" s="118">
        <v>507.600006103516</v>
      </c>
      <c r="F65" s="118">
        <v>1928.81994628906</v>
      </c>
      <c r="G65" s="117">
        <v>3585</v>
      </c>
      <c r="H65" s="117">
        <v>4840</v>
      </c>
      <c r="I65" s="117">
        <v>6348</v>
      </c>
      <c r="J65" s="117">
        <v>4830</v>
      </c>
      <c r="K65" s="22"/>
      <c r="L65" s="118">
        <v>4659.75</v>
      </c>
      <c r="M65" s="118">
        <v>3885.10009765625</v>
      </c>
      <c r="N65" s="118">
        <v>12319.080078125</v>
      </c>
      <c r="O65" s="22"/>
      <c r="P65" s="118">
        <v>1577.32995605469</v>
      </c>
      <c r="Q65" s="118">
        <v>1173.22998046875</v>
      </c>
      <c r="R65" s="118">
        <v>1615.40002441406</v>
      </c>
      <c r="S65" s="117">
        <v>8450</v>
      </c>
      <c r="T65" s="117">
        <v>826</v>
      </c>
      <c r="U65" s="118">
        <v>361.980010986328</v>
      </c>
      <c r="V65" s="118">
        <v>2390.669921875</v>
      </c>
      <c r="W65" s="118">
        <v>4095.40991210938</v>
      </c>
      <c r="X65" s="3"/>
    </row>
    <row x14ac:dyDescent="0.25" r="66" customHeight="1" ht="17.25">
      <c r="A66" s="3" t="s">
        <v>56</v>
      </c>
      <c r="B66" s="3" t="s">
        <v>109</v>
      </c>
      <c r="C66" s="3" t="s">
        <v>111</v>
      </c>
      <c r="D66" s="117">
        <v>2025</v>
      </c>
      <c r="E66" s="29"/>
      <c r="F66" s="29"/>
      <c r="G66" s="117">
        <v>717</v>
      </c>
      <c r="H66" s="117">
        <v>1430</v>
      </c>
      <c r="I66" s="29"/>
      <c r="J66" s="117">
        <v>273</v>
      </c>
      <c r="K66" s="22"/>
      <c r="L66" s="117">
        <v>2793</v>
      </c>
      <c r="M66" s="118">
        <v>2312.5</v>
      </c>
      <c r="N66" s="117">
        <v>6120</v>
      </c>
      <c r="O66" s="22"/>
      <c r="P66" s="117">
        <v>468</v>
      </c>
      <c r="Q66" s="121">
        <v>124.669998168945</v>
      </c>
      <c r="R66" s="118">
        <v>887.25</v>
      </c>
      <c r="S66" s="117">
        <v>4020</v>
      </c>
      <c r="T66" s="117">
        <v>177</v>
      </c>
      <c r="U66" s="29"/>
      <c r="V66" s="117">
        <v>543</v>
      </c>
      <c r="W66" s="118">
        <v>664.200012207031</v>
      </c>
      <c r="X66" s="3"/>
    </row>
    <row x14ac:dyDescent="0.25" r="67" customHeight="1" ht="17.25">
      <c r="A67" s="3" t="s">
        <v>56</v>
      </c>
      <c r="B67" s="3" t="s">
        <v>109</v>
      </c>
      <c r="C67" s="3" t="s">
        <v>111</v>
      </c>
      <c r="D67" s="22" t="s">
        <v>59</v>
      </c>
      <c r="E67" s="119">
        <v>-1</v>
      </c>
      <c r="F67" s="119">
        <v>-1</v>
      </c>
      <c r="G67" s="119">
        <v>-0.8</v>
      </c>
      <c r="H67" s="119">
        <v>-0.7</v>
      </c>
      <c r="I67" s="119">
        <v>-1</v>
      </c>
      <c r="J67" s="119">
        <v>-0.94</v>
      </c>
      <c r="K67" s="22" t="s">
        <v>60</v>
      </c>
      <c r="L67" s="119">
        <v>-0.4</v>
      </c>
      <c r="M67" s="119">
        <v>-0.4</v>
      </c>
      <c r="N67" s="119">
        <v>-0.5</v>
      </c>
      <c r="O67" s="22" t="s">
        <v>60</v>
      </c>
      <c r="P67" s="119">
        <v>-0.7</v>
      </c>
      <c r="Q67" s="119">
        <v>-0.89</v>
      </c>
      <c r="R67" s="119">
        <v>-0.45</v>
      </c>
      <c r="S67" s="119">
        <v>-0.52</v>
      </c>
      <c r="T67" s="119">
        <v>-0.79</v>
      </c>
      <c r="U67" s="119">
        <v>-1</v>
      </c>
      <c r="V67" s="119">
        <v>-0.77</v>
      </c>
      <c r="W67" s="119">
        <v>-0.84</v>
      </c>
      <c r="X67" s="3"/>
    </row>
    <row x14ac:dyDescent="0.25" r="68" customHeight="1" ht="17.25">
      <c r="A68" s="3" t="s">
        <v>56</v>
      </c>
      <c r="B68" s="3" t="s">
        <v>112</v>
      </c>
      <c r="C68" s="3" t="s">
        <v>113</v>
      </c>
      <c r="D68" s="117">
        <v>2024</v>
      </c>
      <c r="E68" s="118">
        <v>355.320007324219</v>
      </c>
      <c r="F68" s="118">
        <v>1304.7900390625</v>
      </c>
      <c r="G68" s="118">
        <v>3465.5</v>
      </c>
      <c r="H68" s="117">
        <v>1870</v>
      </c>
      <c r="I68" s="118">
        <v>4680.5</v>
      </c>
      <c r="J68" s="117">
        <v>3150</v>
      </c>
      <c r="K68" s="22"/>
      <c r="L68" s="118">
        <v>4023.25</v>
      </c>
      <c r="M68" s="118">
        <v>3345.5400390625</v>
      </c>
      <c r="N68" s="118">
        <v>12046.8203125</v>
      </c>
      <c r="O68" s="22"/>
      <c r="P68" s="117">
        <v>403</v>
      </c>
      <c r="Q68" s="118">
        <v>307.959991455078</v>
      </c>
      <c r="R68" s="118">
        <v>1342.72998046875</v>
      </c>
      <c r="S68" s="117">
        <v>4170</v>
      </c>
      <c r="T68" s="117">
        <v>767</v>
      </c>
      <c r="U68" s="118">
        <v>444.940002441406</v>
      </c>
      <c r="V68" s="118">
        <v>1312.16003417969</v>
      </c>
      <c r="W68" s="118">
        <v>1152.32998657227</v>
      </c>
      <c r="X68" s="3"/>
    </row>
    <row x14ac:dyDescent="0.25" r="69" customHeight="1" ht="17.25">
      <c r="A69" s="3" t="s">
        <v>56</v>
      </c>
      <c r="B69" s="3" t="s">
        <v>112</v>
      </c>
      <c r="C69" s="3" t="s">
        <v>113</v>
      </c>
      <c r="D69" s="117">
        <v>2025</v>
      </c>
      <c r="E69" s="118">
        <v>203.039993286133</v>
      </c>
      <c r="F69" s="118">
        <v>340.380004882813</v>
      </c>
      <c r="G69" s="118">
        <v>119.5</v>
      </c>
      <c r="H69" s="117">
        <v>440</v>
      </c>
      <c r="I69" s="117">
        <v>1192</v>
      </c>
      <c r="J69" s="118">
        <v>682.5</v>
      </c>
      <c r="K69" s="22"/>
      <c r="L69" s="117">
        <v>1653</v>
      </c>
      <c r="M69" s="118">
        <v>2042.75</v>
      </c>
      <c r="N69" s="118">
        <v>3603.919921875</v>
      </c>
      <c r="O69" s="22"/>
      <c r="P69" s="117">
        <v>208</v>
      </c>
      <c r="Q69" s="117">
        <v>176</v>
      </c>
      <c r="R69" s="118">
        <v>693.900024414063</v>
      </c>
      <c r="S69" s="117">
        <v>1270</v>
      </c>
      <c r="T69" s="117">
        <v>236</v>
      </c>
      <c r="U69" s="121">
        <v>15.0799999237061</v>
      </c>
      <c r="V69" s="118">
        <v>256.380004882813</v>
      </c>
      <c r="W69" s="118">
        <v>1033.33001708984</v>
      </c>
      <c r="X69" s="3"/>
    </row>
    <row x14ac:dyDescent="0.25" r="70" customHeight="1" ht="17.25">
      <c r="A70" s="3" t="s">
        <v>56</v>
      </c>
      <c r="B70" s="3" t="s">
        <v>112</v>
      </c>
      <c r="C70" s="3" t="s">
        <v>113</v>
      </c>
      <c r="D70" s="22" t="s">
        <v>59</v>
      </c>
      <c r="E70" s="119">
        <v>-0.43</v>
      </c>
      <c r="F70" s="119">
        <v>-0.74</v>
      </c>
      <c r="G70" s="119">
        <v>-0.97</v>
      </c>
      <c r="H70" s="119">
        <v>-0.76</v>
      </c>
      <c r="I70" s="119">
        <v>-0.75</v>
      </c>
      <c r="J70" s="119">
        <v>-0.78</v>
      </c>
      <c r="K70" s="22" t="s">
        <v>60</v>
      </c>
      <c r="L70" s="119">
        <v>-0.59</v>
      </c>
      <c r="M70" s="119">
        <v>-0.39</v>
      </c>
      <c r="N70" s="119">
        <v>-0.7</v>
      </c>
      <c r="O70" s="22" t="s">
        <v>60</v>
      </c>
      <c r="P70" s="119">
        <v>-0.48</v>
      </c>
      <c r="Q70" s="119">
        <v>-0.43</v>
      </c>
      <c r="R70" s="119">
        <v>-0.48</v>
      </c>
      <c r="S70" s="119">
        <v>-0.7</v>
      </c>
      <c r="T70" s="119">
        <v>-0.69</v>
      </c>
      <c r="U70" s="119">
        <v>-0.97</v>
      </c>
      <c r="V70" s="119">
        <v>-0.8</v>
      </c>
      <c r="W70" s="119">
        <v>-0.1</v>
      </c>
      <c r="X70" s="3"/>
    </row>
    <row x14ac:dyDescent="0.25" r="71" customHeight="1" ht="17.25">
      <c r="A71" s="3" t="s">
        <v>56</v>
      </c>
      <c r="B71" s="3" t="s">
        <v>114</v>
      </c>
      <c r="C71" s="3" t="s">
        <v>115</v>
      </c>
      <c r="D71" s="117">
        <v>2024</v>
      </c>
      <c r="E71" s="29"/>
      <c r="F71" s="29"/>
      <c r="G71" s="29"/>
      <c r="H71" s="29"/>
      <c r="I71" s="29"/>
      <c r="J71" s="29"/>
      <c r="K71" s="22"/>
      <c r="L71" s="29"/>
      <c r="M71" s="29"/>
      <c r="N71" s="29"/>
      <c r="O71" s="22"/>
      <c r="P71" s="29"/>
      <c r="Q71" s="29"/>
      <c r="R71" s="29"/>
      <c r="S71" s="29"/>
      <c r="T71" s="29"/>
      <c r="U71" s="29"/>
      <c r="V71" s="29"/>
      <c r="W71" s="29"/>
      <c r="X71" s="3"/>
    </row>
    <row x14ac:dyDescent="0.25" r="72" customHeight="1" ht="17.25">
      <c r="A72" s="3" t="s">
        <v>56</v>
      </c>
      <c r="B72" s="3" t="s">
        <v>114</v>
      </c>
      <c r="C72" s="3" t="s">
        <v>115</v>
      </c>
      <c r="D72" s="117">
        <v>2025</v>
      </c>
      <c r="E72" s="29"/>
      <c r="F72" s="29"/>
      <c r="G72" s="29"/>
      <c r="H72" s="29"/>
      <c r="I72" s="29"/>
      <c r="J72" s="29"/>
      <c r="K72" s="22"/>
      <c r="L72" s="29"/>
      <c r="M72" s="29"/>
      <c r="N72" s="29"/>
      <c r="O72" s="22"/>
      <c r="P72" s="29"/>
      <c r="Q72" s="29"/>
      <c r="R72" s="29"/>
      <c r="S72" s="29"/>
      <c r="T72" s="29"/>
      <c r="U72" s="29"/>
      <c r="V72" s="29"/>
      <c r="W72" s="29"/>
      <c r="X72" s="3"/>
    </row>
    <row x14ac:dyDescent="0.25" r="73" customHeight="1" ht="17.25">
      <c r="A73" s="3" t="s">
        <v>56</v>
      </c>
      <c r="B73" s="3" t="s">
        <v>114</v>
      </c>
      <c r="C73" s="3" t="s">
        <v>115</v>
      </c>
      <c r="D73" s="22" t="s">
        <v>59</v>
      </c>
      <c r="E73" s="120" t="s">
        <v>60</v>
      </c>
      <c r="F73" s="120" t="s">
        <v>60</v>
      </c>
      <c r="G73" s="120" t="s">
        <v>60</v>
      </c>
      <c r="H73" s="120" t="s">
        <v>60</v>
      </c>
      <c r="I73" s="120" t="s">
        <v>60</v>
      </c>
      <c r="J73" s="120" t="s">
        <v>60</v>
      </c>
      <c r="K73" s="22" t="s">
        <v>60</v>
      </c>
      <c r="L73" s="120" t="s">
        <v>60</v>
      </c>
      <c r="M73" s="120" t="s">
        <v>60</v>
      </c>
      <c r="N73" s="120" t="s">
        <v>60</v>
      </c>
      <c r="O73" s="22" t="s">
        <v>60</v>
      </c>
      <c r="P73" s="120" t="s">
        <v>60</v>
      </c>
      <c r="Q73" s="120" t="s">
        <v>60</v>
      </c>
      <c r="R73" s="120" t="s">
        <v>60</v>
      </c>
      <c r="S73" s="120" t="s">
        <v>60</v>
      </c>
      <c r="T73" s="120" t="s">
        <v>60</v>
      </c>
      <c r="U73" s="120" t="s">
        <v>60</v>
      </c>
      <c r="V73" s="120" t="s">
        <v>60</v>
      </c>
      <c r="W73" s="120" t="s">
        <v>60</v>
      </c>
      <c r="X73" s="3"/>
    </row>
    <row x14ac:dyDescent="0.25" r="74" customHeight="1" ht="17.25">
      <c r="A74" s="3" t="s">
        <v>56</v>
      </c>
      <c r="B74" s="3" t="s">
        <v>116</v>
      </c>
      <c r="C74" s="3" t="s">
        <v>117</v>
      </c>
      <c r="D74" s="117">
        <v>2024</v>
      </c>
      <c r="E74" s="118">
        <v>1319.76000976563</v>
      </c>
      <c r="F74" s="118">
        <v>3628.17993164063</v>
      </c>
      <c r="G74" s="118">
        <v>8434.7001953125</v>
      </c>
      <c r="H74" s="118">
        <v>2145.01000976563</v>
      </c>
      <c r="I74" s="117">
        <v>12535</v>
      </c>
      <c r="J74" s="117">
        <v>2730</v>
      </c>
      <c r="K74" s="22"/>
      <c r="L74" s="118">
        <v>13423.5</v>
      </c>
      <c r="M74" s="118">
        <v>8810.7998046875</v>
      </c>
      <c r="N74" s="118">
        <v>14856.7197265625</v>
      </c>
      <c r="O74" s="22"/>
      <c r="P74" s="118">
        <v>3102.64990234375</v>
      </c>
      <c r="Q74" s="118">
        <v>1517.71997070313</v>
      </c>
      <c r="R74" s="118">
        <v>534.619995117188</v>
      </c>
      <c r="S74" s="118">
        <v>8618.5</v>
      </c>
      <c r="T74" s="118">
        <v>1096.42004394531</v>
      </c>
      <c r="U74" s="118">
        <v>271.470001220703</v>
      </c>
      <c r="V74" s="118">
        <v>3665.13989257813</v>
      </c>
      <c r="W74" s="118">
        <v>10782.2099609375</v>
      </c>
      <c r="X74" s="3"/>
    </row>
    <row x14ac:dyDescent="0.25" r="75" customHeight="1" ht="17.25">
      <c r="A75" s="3" t="s">
        <v>56</v>
      </c>
      <c r="B75" s="3" t="s">
        <v>116</v>
      </c>
      <c r="C75" s="3" t="s">
        <v>117</v>
      </c>
      <c r="D75" s="117">
        <v>2025</v>
      </c>
      <c r="E75" s="118">
        <v>431.459991455078</v>
      </c>
      <c r="F75" s="118">
        <v>1872.08996582031</v>
      </c>
      <c r="G75" s="118">
        <v>1623.19995117188</v>
      </c>
      <c r="H75" s="118">
        <v>733.330017089844</v>
      </c>
      <c r="I75" s="117">
        <v>2086</v>
      </c>
      <c r="J75" s="117">
        <v>546</v>
      </c>
      <c r="K75" s="22"/>
      <c r="L75" s="118">
        <v>3980.5</v>
      </c>
      <c r="M75" s="118">
        <v>2258.60009765625</v>
      </c>
      <c r="N75" s="118">
        <v>3547.3701171875</v>
      </c>
      <c r="O75" s="22"/>
      <c r="P75" s="117">
        <v>780</v>
      </c>
      <c r="Q75" s="117">
        <v>396</v>
      </c>
      <c r="R75" s="121">
        <v>170.619995117188</v>
      </c>
      <c r="S75" s="117">
        <v>1380</v>
      </c>
      <c r="T75" s="117">
        <v>177</v>
      </c>
      <c r="U75" s="118">
        <v>45.2400016784668</v>
      </c>
      <c r="V75" s="118">
        <v>1093.51000976563</v>
      </c>
      <c r="W75" s="118">
        <v>4583.15991210938</v>
      </c>
      <c r="X75" s="3"/>
    </row>
    <row x14ac:dyDescent="0.25" r="76" customHeight="1" ht="17.25">
      <c r="A76" s="3" t="s">
        <v>56</v>
      </c>
      <c r="B76" s="3" t="s">
        <v>116</v>
      </c>
      <c r="C76" s="3" t="s">
        <v>117</v>
      </c>
      <c r="D76" s="22" t="s">
        <v>59</v>
      </c>
      <c r="E76" s="119">
        <v>-0.67</v>
      </c>
      <c r="F76" s="119">
        <v>-0.48</v>
      </c>
      <c r="G76" s="119">
        <v>-0.81</v>
      </c>
      <c r="H76" s="119">
        <v>-0.66</v>
      </c>
      <c r="I76" s="119">
        <v>-0.83</v>
      </c>
      <c r="J76" s="119">
        <v>-0.8</v>
      </c>
      <c r="K76" s="22" t="s">
        <v>60</v>
      </c>
      <c r="L76" s="119">
        <v>-0.7</v>
      </c>
      <c r="M76" s="119">
        <v>-0.74</v>
      </c>
      <c r="N76" s="119">
        <v>-0.76</v>
      </c>
      <c r="O76" s="22" t="s">
        <v>60</v>
      </c>
      <c r="P76" s="119">
        <v>-0.75</v>
      </c>
      <c r="Q76" s="119">
        <v>-0.74</v>
      </c>
      <c r="R76" s="119">
        <v>-0.68</v>
      </c>
      <c r="S76" s="119">
        <v>-0.84</v>
      </c>
      <c r="T76" s="119">
        <v>-0.84</v>
      </c>
      <c r="U76" s="119">
        <v>-0.83</v>
      </c>
      <c r="V76" s="119">
        <v>-0.7</v>
      </c>
      <c r="W76" s="119">
        <v>-0.57</v>
      </c>
      <c r="X76" s="3"/>
    </row>
    <row x14ac:dyDescent="0.25" r="77" customHeight="1" ht="17.25">
      <c r="A77" s="3" t="s">
        <v>56</v>
      </c>
      <c r="B77" s="3" t="s">
        <v>118</v>
      </c>
      <c r="C77" s="3" t="s">
        <v>118</v>
      </c>
      <c r="D77" s="117">
        <v>2024</v>
      </c>
      <c r="E77" s="118">
        <v>20177.0800390244</v>
      </c>
      <c r="F77" s="118">
        <v>78473.5599999428</v>
      </c>
      <c r="G77" s="118">
        <v>20480.4300003052</v>
      </c>
      <c r="H77" s="118">
        <v>9777.68000030518</v>
      </c>
      <c r="I77" s="118">
        <v>56859.7601623535</v>
      </c>
      <c r="J77" s="118">
        <v>44572.8500061035</v>
      </c>
      <c r="K77" s="117">
        <v>0</v>
      </c>
      <c r="L77" s="118">
        <v>219399.5</v>
      </c>
      <c r="M77" s="118">
        <v>104934.641679764</v>
      </c>
      <c r="N77" s="118">
        <v>276369.099998474</v>
      </c>
      <c r="O77" s="117">
        <v>0</v>
      </c>
      <c r="P77" s="118">
        <v>22179.1405467987</v>
      </c>
      <c r="Q77" s="118">
        <v>10285.5</v>
      </c>
      <c r="R77" s="118">
        <v>21040.0198631287</v>
      </c>
      <c r="S77" s="117">
        <v>227686</v>
      </c>
      <c r="T77" s="118">
        <v>5926.669921875</v>
      </c>
      <c r="U77" s="118">
        <v>4608.16999816895</v>
      </c>
      <c r="V77" s="118">
        <v>24027.669921875</v>
      </c>
      <c r="W77" s="118">
        <v>9903.22012329102</v>
      </c>
      <c r="X77" s="3"/>
    </row>
    <row x14ac:dyDescent="0.25" r="78" customHeight="1" ht="17.25">
      <c r="A78" s="3" t="s">
        <v>56</v>
      </c>
      <c r="B78" s="3" t="s">
        <v>118</v>
      </c>
      <c r="C78" s="3" t="s">
        <v>118</v>
      </c>
      <c r="D78" s="117">
        <v>2025</v>
      </c>
      <c r="E78" s="117">
        <v>0</v>
      </c>
      <c r="F78" s="118">
        <v>10.6800003051758</v>
      </c>
      <c r="G78" s="117">
        <v>5130</v>
      </c>
      <c r="H78" s="117">
        <v>7875</v>
      </c>
      <c r="I78" s="117">
        <v>10650</v>
      </c>
      <c r="J78" s="118">
        <v>6493.03007793427</v>
      </c>
      <c r="K78" s="117">
        <v>0</v>
      </c>
      <c r="L78" s="117">
        <v>111132</v>
      </c>
      <c r="M78" s="118">
        <v>36879.328125</v>
      </c>
      <c r="N78" s="118">
        <v>142546.685638428</v>
      </c>
      <c r="O78" s="117">
        <v>0</v>
      </c>
      <c r="P78" s="117">
        <v>6625</v>
      </c>
      <c r="Q78" s="117">
        <v>2164</v>
      </c>
      <c r="R78" s="118">
        <v>12523.349609375</v>
      </c>
      <c r="S78" s="117">
        <v>79509</v>
      </c>
      <c r="T78" s="117">
        <v>2618</v>
      </c>
      <c r="U78" s="117">
        <v>0</v>
      </c>
      <c r="V78" s="118">
        <v>11803.5</v>
      </c>
      <c r="W78" s="118">
        <v>1396.21002197266</v>
      </c>
      <c r="X78" s="3"/>
    </row>
    <row x14ac:dyDescent="0.25" r="79" customHeight="1" ht="17.25">
      <c r="A79" s="3" t="s">
        <v>56</v>
      </c>
      <c r="B79" s="3" t="s">
        <v>118</v>
      </c>
      <c r="C79" s="3" t="s">
        <v>118</v>
      </c>
      <c r="D79" s="22" t="s">
        <v>59</v>
      </c>
      <c r="E79" s="119">
        <v>-1</v>
      </c>
      <c r="F79" s="119">
        <v>-1</v>
      </c>
      <c r="G79" s="119">
        <v>-0.75</v>
      </c>
      <c r="H79" s="119">
        <v>-0.19</v>
      </c>
      <c r="I79" s="119">
        <v>-0.81</v>
      </c>
      <c r="J79" s="119">
        <v>-0.85</v>
      </c>
      <c r="K79" s="22" t="s">
        <v>60</v>
      </c>
      <c r="L79" s="119">
        <v>-0.49</v>
      </c>
      <c r="M79" s="119">
        <v>-0.65</v>
      </c>
      <c r="N79" s="119">
        <v>-0.48</v>
      </c>
      <c r="O79" s="22" t="s">
        <v>60</v>
      </c>
      <c r="P79" s="119">
        <v>-0.7</v>
      </c>
      <c r="Q79" s="119">
        <v>-0.79</v>
      </c>
      <c r="R79" s="119">
        <v>-0.4</v>
      </c>
      <c r="S79" s="119">
        <v>-0.65</v>
      </c>
      <c r="T79" s="119">
        <v>-0.56</v>
      </c>
      <c r="U79" s="119">
        <v>-1</v>
      </c>
      <c r="V79" s="119">
        <v>-0.51</v>
      </c>
      <c r="W79" s="119">
        <v>-0.86</v>
      </c>
      <c r="X79" s="3"/>
    </row>
    <row x14ac:dyDescent="0.25" r="80" customHeight="1" ht="17.25">
      <c r="A80" s="3" t="s">
        <v>56</v>
      </c>
      <c r="B80" s="3" t="s">
        <v>119</v>
      </c>
      <c r="C80" s="3" t="s">
        <v>120</v>
      </c>
      <c r="D80" s="117">
        <v>2024</v>
      </c>
      <c r="E80" s="118">
        <v>5907.88998413087</v>
      </c>
      <c r="F80" s="118">
        <v>9636.47998046876</v>
      </c>
      <c r="G80" s="118">
        <v>27076.6800537109</v>
      </c>
      <c r="H80" s="118">
        <v>13841.669921875</v>
      </c>
      <c r="I80" s="117">
        <v>31579</v>
      </c>
      <c r="J80" s="117">
        <v>14322</v>
      </c>
      <c r="K80" s="117">
        <v>0</v>
      </c>
      <c r="L80" s="118">
        <v>47685.25</v>
      </c>
      <c r="M80" s="118">
        <v>23858.3898925781</v>
      </c>
      <c r="N80" s="118">
        <v>78748.7100219727</v>
      </c>
      <c r="O80" s="117">
        <v>0</v>
      </c>
      <c r="P80" s="118">
        <v>9074.02996826173</v>
      </c>
      <c r="Q80" s="118">
        <v>1699.92001533508</v>
      </c>
      <c r="R80" s="118">
        <v>7567.57998275757</v>
      </c>
      <c r="S80" s="118">
        <v>34629.4799804688</v>
      </c>
      <c r="T80" s="118">
        <v>3569.50004577637</v>
      </c>
      <c r="U80" s="118">
        <v>165.91999912262</v>
      </c>
      <c r="V80" s="118">
        <v>9735.85986328126</v>
      </c>
      <c r="W80" s="118">
        <v>24451.0501708984</v>
      </c>
      <c r="X80" s="3"/>
    </row>
    <row x14ac:dyDescent="0.25" r="81" customHeight="1" ht="17.25">
      <c r="A81" s="3" t="s">
        <v>56</v>
      </c>
      <c r="B81" s="3" t="s">
        <v>119</v>
      </c>
      <c r="C81" s="3" t="s">
        <v>120</v>
      </c>
      <c r="D81" s="117">
        <v>2025</v>
      </c>
      <c r="E81" s="118">
        <v>2233.43999481201</v>
      </c>
      <c r="F81" s="118">
        <v>4649.31997680665</v>
      </c>
      <c r="G81" s="118">
        <v>8813.11999511719</v>
      </c>
      <c r="H81" s="118">
        <v>5701.66998291016</v>
      </c>
      <c r="I81" s="118">
        <v>9846.41003417969</v>
      </c>
      <c r="J81" s="118">
        <v>4504.5</v>
      </c>
      <c r="K81" s="117">
        <v>0</v>
      </c>
      <c r="L81" s="118">
        <v>19650.75</v>
      </c>
      <c r="M81" s="118">
        <v>9018.90008544923</v>
      </c>
      <c r="N81" s="118">
        <v>33961.6401824951</v>
      </c>
      <c r="O81" s="117">
        <v>0</v>
      </c>
      <c r="P81" s="118">
        <v>4003.99000549316</v>
      </c>
      <c r="Q81" s="118">
        <v>1723.04000663757</v>
      </c>
      <c r="R81" s="118">
        <v>2400.05996131898</v>
      </c>
      <c r="S81" s="118">
        <v>13128.0799999237</v>
      </c>
      <c r="T81" s="118">
        <v>1632.32998657227</v>
      </c>
      <c r="U81" s="121">
        <v>15.0899991989136</v>
      </c>
      <c r="V81" s="118">
        <v>3725.5500125885</v>
      </c>
      <c r="W81" s="118">
        <v>13881.6798439026</v>
      </c>
      <c r="X81" s="3"/>
    </row>
    <row x14ac:dyDescent="0.25" r="82" customHeight="1" ht="17.25">
      <c r="A82" s="3" t="s">
        <v>56</v>
      </c>
      <c r="B82" s="3" t="s">
        <v>119</v>
      </c>
      <c r="C82" s="3" t="s">
        <v>120</v>
      </c>
      <c r="D82" s="22" t="s">
        <v>59</v>
      </c>
      <c r="E82" s="119">
        <v>-0.62</v>
      </c>
      <c r="F82" s="119">
        <v>-0.52</v>
      </c>
      <c r="G82" s="119">
        <v>-0.67</v>
      </c>
      <c r="H82" s="119">
        <v>-0.59</v>
      </c>
      <c r="I82" s="119">
        <v>-0.69</v>
      </c>
      <c r="J82" s="119">
        <v>-0.69</v>
      </c>
      <c r="K82" s="22" t="s">
        <v>60</v>
      </c>
      <c r="L82" s="119">
        <v>-0.59</v>
      </c>
      <c r="M82" s="119">
        <v>-0.62</v>
      </c>
      <c r="N82" s="119">
        <v>-0.57</v>
      </c>
      <c r="O82" s="22" t="s">
        <v>60</v>
      </c>
      <c r="P82" s="119">
        <v>-0.56</v>
      </c>
      <c r="Q82" s="119">
        <v>0.01</v>
      </c>
      <c r="R82" s="119">
        <v>-0.68</v>
      </c>
      <c r="S82" s="119">
        <v>-0.62</v>
      </c>
      <c r="T82" s="119">
        <v>-0.54</v>
      </c>
      <c r="U82" s="119">
        <v>-0.91</v>
      </c>
      <c r="V82" s="119">
        <v>-0.62</v>
      </c>
      <c r="W82" s="119">
        <v>-0.43</v>
      </c>
      <c r="X82" s="3"/>
    </row>
    <row x14ac:dyDescent="0.25" r="83" customHeight="1" ht="17.25">
      <c r="A83" s="3" t="s">
        <v>56</v>
      </c>
      <c r="B83" s="3" t="s">
        <v>121</v>
      </c>
      <c r="C83" s="3" t="s">
        <v>122</v>
      </c>
      <c r="D83" s="117">
        <v>2024</v>
      </c>
      <c r="E83" s="118">
        <v>6593.16000366211</v>
      </c>
      <c r="F83" s="118">
        <v>17060.4898681641</v>
      </c>
      <c r="G83" s="118">
        <v>37493.0805664063</v>
      </c>
      <c r="H83" s="118">
        <v>18480.0098876953</v>
      </c>
      <c r="I83" s="118">
        <v>52497.5</v>
      </c>
      <c r="J83" s="117">
        <v>20223</v>
      </c>
      <c r="K83" s="117">
        <v>0</v>
      </c>
      <c r="L83" s="117">
        <v>63631</v>
      </c>
      <c r="M83" s="118">
        <v>40083.9296875</v>
      </c>
      <c r="N83" s="118">
        <v>103041.709716797</v>
      </c>
      <c r="O83" s="117">
        <v>0</v>
      </c>
      <c r="P83" s="118">
        <v>12670.6596679688</v>
      </c>
      <c r="Q83" s="118">
        <v>5974.73991584779</v>
      </c>
      <c r="R83" s="118">
        <v>6928.02001953125</v>
      </c>
      <c r="S83" s="118">
        <v>53006.3300018311</v>
      </c>
      <c r="T83" s="118">
        <v>5821.330078125</v>
      </c>
      <c r="U83" s="118">
        <v>1515.76000595093</v>
      </c>
      <c r="V83" s="118">
        <v>16704.4197998047</v>
      </c>
      <c r="W83" s="118">
        <v>36659.149766922</v>
      </c>
      <c r="X83" s="3"/>
    </row>
    <row x14ac:dyDescent="0.25" r="84" customHeight="1" ht="17.25">
      <c r="A84" s="3" t="s">
        <v>56</v>
      </c>
      <c r="B84" s="3" t="s">
        <v>121</v>
      </c>
      <c r="C84" s="3" t="s">
        <v>122</v>
      </c>
      <c r="D84" s="117">
        <v>2025</v>
      </c>
      <c r="E84" s="118">
        <v>1946.37995910645</v>
      </c>
      <c r="F84" s="118">
        <v>6910.90002441406</v>
      </c>
      <c r="G84" s="118">
        <v>7687.81005859376</v>
      </c>
      <c r="H84" s="118">
        <v>6783.33001708984</v>
      </c>
      <c r="I84" s="118">
        <v>9188.32006835938</v>
      </c>
      <c r="J84" s="117">
        <v>4732</v>
      </c>
      <c r="K84" s="117">
        <v>0</v>
      </c>
      <c r="L84" s="118">
        <v>23384.25</v>
      </c>
      <c r="M84" s="118">
        <v>16734.9001464844</v>
      </c>
      <c r="N84" s="118">
        <v>32876.5405273438</v>
      </c>
      <c r="O84" s="117">
        <v>0</v>
      </c>
      <c r="P84" s="118">
        <v>4524.01000976562</v>
      </c>
      <c r="Q84" s="118">
        <v>1913.41001701355</v>
      </c>
      <c r="R84" s="118">
        <v>4368.07000732422</v>
      </c>
      <c r="S84" s="117">
        <v>16077</v>
      </c>
      <c r="T84" s="118">
        <v>1981.40997314453</v>
      </c>
      <c r="U84" s="118">
        <v>497.759996414185</v>
      </c>
      <c r="V84" s="118">
        <v>4600.32995605469</v>
      </c>
      <c r="W84" s="118">
        <v>11676.5698852539</v>
      </c>
      <c r="X84" s="3"/>
    </row>
    <row x14ac:dyDescent="0.25" r="85" customHeight="1" ht="17.25">
      <c r="A85" s="3" t="s">
        <v>56</v>
      </c>
      <c r="B85" s="3" t="s">
        <v>121</v>
      </c>
      <c r="C85" s="3" t="s">
        <v>122</v>
      </c>
      <c r="D85" s="22" t="s">
        <v>59</v>
      </c>
      <c r="E85" s="119">
        <v>-0.7</v>
      </c>
      <c r="F85" s="119">
        <v>-0.59</v>
      </c>
      <c r="G85" s="119">
        <v>-0.79</v>
      </c>
      <c r="H85" s="119">
        <v>-0.63</v>
      </c>
      <c r="I85" s="119">
        <v>-0.82</v>
      </c>
      <c r="J85" s="119">
        <v>-0.77</v>
      </c>
      <c r="K85" s="22" t="s">
        <v>60</v>
      </c>
      <c r="L85" s="119">
        <v>-0.63</v>
      </c>
      <c r="M85" s="119">
        <v>-0.58</v>
      </c>
      <c r="N85" s="119">
        <v>-0.68</v>
      </c>
      <c r="O85" s="22" t="s">
        <v>60</v>
      </c>
      <c r="P85" s="119">
        <v>-0.64</v>
      </c>
      <c r="Q85" s="119">
        <v>-0.68</v>
      </c>
      <c r="R85" s="119">
        <v>-0.37</v>
      </c>
      <c r="S85" s="119">
        <v>-0.7</v>
      </c>
      <c r="T85" s="119">
        <v>-0.66</v>
      </c>
      <c r="U85" s="119">
        <v>-0.67</v>
      </c>
      <c r="V85" s="119">
        <v>-0.72</v>
      </c>
      <c r="W85" s="119">
        <v>-0.68</v>
      </c>
      <c r="X85" s="3"/>
    </row>
    <row x14ac:dyDescent="0.25" r="86" customHeight="1" ht="17.25">
      <c r="A86" s="3" t="s">
        <v>56</v>
      </c>
      <c r="B86" s="3" t="s">
        <v>123</v>
      </c>
      <c r="C86" s="3" t="s">
        <v>123</v>
      </c>
      <c r="D86" s="117">
        <v>2024</v>
      </c>
      <c r="E86" s="118">
        <v>32678.1300268173</v>
      </c>
      <c r="F86" s="118">
        <v>105170.529848576</v>
      </c>
      <c r="G86" s="118">
        <v>85050.1906204224</v>
      </c>
      <c r="H86" s="118">
        <v>42099.3598098755</v>
      </c>
      <c r="I86" s="118">
        <v>140936.260162354</v>
      </c>
      <c r="J86" s="118">
        <v>79117.8500061035</v>
      </c>
      <c r="K86" s="117">
        <v>0</v>
      </c>
      <c r="L86" s="118">
        <v>330715.75</v>
      </c>
      <c r="M86" s="118">
        <v>168876.961259842</v>
      </c>
      <c r="N86" s="118">
        <v>458159.519737244</v>
      </c>
      <c r="O86" s="117">
        <v>0</v>
      </c>
      <c r="P86" s="118">
        <v>43923.8301830292</v>
      </c>
      <c r="Q86" s="118">
        <v>17960.1599311829</v>
      </c>
      <c r="R86" s="118">
        <v>35535.6198654175</v>
      </c>
      <c r="S86" s="118">
        <v>315321.8099823</v>
      </c>
      <c r="T86" s="118">
        <v>15317.5000457764</v>
      </c>
      <c r="U86" s="118">
        <v>6289.8500032425</v>
      </c>
      <c r="V86" s="118">
        <v>50467.949584961</v>
      </c>
      <c r="W86" s="118">
        <v>71013.4200611115</v>
      </c>
      <c r="X86" s="3"/>
    </row>
    <row x14ac:dyDescent="0.25" r="87" customHeight="1" ht="17.25">
      <c r="A87" s="3" t="s">
        <v>56</v>
      </c>
      <c r="B87" s="3" t="s">
        <v>123</v>
      </c>
      <c r="C87" s="3" t="s">
        <v>123</v>
      </c>
      <c r="D87" s="117">
        <v>2025</v>
      </c>
      <c r="E87" s="118">
        <v>4179.81995391846</v>
      </c>
      <c r="F87" s="118">
        <v>11570.9000015259</v>
      </c>
      <c r="G87" s="118">
        <v>21630.9300537109</v>
      </c>
      <c r="H87" s="117">
        <v>20360</v>
      </c>
      <c r="I87" s="118">
        <v>29684.7301025391</v>
      </c>
      <c r="J87" s="118">
        <v>15729.5300779343</v>
      </c>
      <c r="K87" s="117">
        <v>0</v>
      </c>
      <c r="L87" s="117">
        <v>154167</v>
      </c>
      <c r="M87" s="118">
        <v>62633.1283569336</v>
      </c>
      <c r="N87" s="118">
        <v>209384.866348267</v>
      </c>
      <c r="O87" s="117">
        <v>0</v>
      </c>
      <c r="P87" s="118">
        <v>15153.0000152588</v>
      </c>
      <c r="Q87" s="118">
        <v>5800.45002365112</v>
      </c>
      <c r="R87" s="118">
        <v>19291.4795780182</v>
      </c>
      <c r="S87" s="118">
        <v>108714.079999924</v>
      </c>
      <c r="T87" s="118">
        <v>6231.7399597168</v>
      </c>
      <c r="U87" s="118">
        <v>512.849995613098</v>
      </c>
      <c r="V87" s="118">
        <v>20129.3799686432</v>
      </c>
      <c r="W87" s="118">
        <v>26954.4597511292</v>
      </c>
      <c r="X87" s="3"/>
    </row>
    <row x14ac:dyDescent="0.25" r="88" customHeight="1" ht="17.25">
      <c r="A88" s="3" t="s">
        <v>56</v>
      </c>
      <c r="B88" s="3" t="s">
        <v>123</v>
      </c>
      <c r="C88" s="3" t="s">
        <v>123</v>
      </c>
      <c r="D88" s="22" t="s">
        <v>59</v>
      </c>
      <c r="E88" s="119">
        <v>-0.87</v>
      </c>
      <c r="F88" s="119">
        <v>-0.89</v>
      </c>
      <c r="G88" s="119">
        <v>-0.75</v>
      </c>
      <c r="H88" s="119">
        <v>-0.52</v>
      </c>
      <c r="I88" s="119">
        <v>-0.79</v>
      </c>
      <c r="J88" s="119">
        <v>-0.8</v>
      </c>
      <c r="K88" s="22" t="s">
        <v>60</v>
      </c>
      <c r="L88" s="119">
        <v>-0.53</v>
      </c>
      <c r="M88" s="119">
        <v>-0.63</v>
      </c>
      <c r="N88" s="119">
        <v>-0.54</v>
      </c>
      <c r="O88" s="22" t="s">
        <v>60</v>
      </c>
      <c r="P88" s="119">
        <v>-0.66</v>
      </c>
      <c r="Q88" s="119">
        <v>-0.68</v>
      </c>
      <c r="R88" s="119">
        <v>-0.46</v>
      </c>
      <c r="S88" s="119">
        <v>-0.66</v>
      </c>
      <c r="T88" s="119">
        <v>-0.59</v>
      </c>
      <c r="U88" s="119">
        <v>-0.92</v>
      </c>
      <c r="V88" s="119">
        <v>-0.6</v>
      </c>
      <c r="W88" s="119">
        <v>-0.62</v>
      </c>
      <c r="X88" s="3"/>
    </row>
  </sheetData>
  <mergeCells count="8">
    <mergeCell ref="S1:X2"/>
    <mergeCell ref="A5:B5"/>
    <mergeCell ref="E5:F5"/>
    <mergeCell ref="G5:K5"/>
    <mergeCell ref="L5:O5"/>
    <mergeCell ref="P5:R5"/>
    <mergeCell ref="T5:V5"/>
    <mergeCell ref="W6:W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88"/>
  <sheetViews>
    <sheetView workbookViewId="0"/>
  </sheetViews>
  <sheetFormatPr defaultRowHeight="15" x14ac:dyDescent="0.25"/>
  <cols>
    <col min="1" max="1" style="19" width="23.576428571428572" customWidth="1" bestFit="1"/>
    <col min="2" max="2" style="19" width="25.719285714285714" customWidth="1" bestFit="1"/>
    <col min="3" max="3" style="19" width="31.719285714285714" customWidth="1" bestFit="1"/>
    <col min="4" max="4" style="24" width="5.862142857142857" customWidth="1" bestFit="1"/>
    <col min="5" max="5" style="80" width="9.147857142857141" customWidth="1" bestFit="1"/>
    <col min="6" max="6" style="80" width="8.005" customWidth="1" bestFit="1"/>
    <col min="7" max="7" style="80" width="7.719285714285714" customWidth="1" bestFit="1"/>
    <col min="8" max="8" style="80" width="8.43357142857143" customWidth="1" bestFit="1"/>
    <col min="9" max="9" style="80" width="9.862142857142858" customWidth="1" bestFit="1"/>
    <col min="10" max="10" style="80" width="7.862142857142857" customWidth="1" bestFit="1"/>
    <col min="11" max="11" style="24" width="8.147857142857141" customWidth="1" bestFit="1"/>
    <col min="12" max="12" style="80" width="8.005" customWidth="1" bestFit="1"/>
    <col min="13" max="13" style="80" width="8.576428571428572" customWidth="1" bestFit="1"/>
    <col min="14" max="14" style="80" width="8.862142857142858" customWidth="1" bestFit="1"/>
    <col min="15" max="15" style="24" width="7.2907142857142855" customWidth="1" bestFit="1"/>
    <col min="16" max="16" style="80" width="7.719285714285714" customWidth="1" bestFit="1"/>
    <col min="17" max="17" style="80" width="8.005" customWidth="1" bestFit="1"/>
    <col min="18" max="18" style="80" width="7.862142857142857" customWidth="1" bestFit="1"/>
    <col min="19" max="19" style="80" width="8.290714285714287" customWidth="1" bestFit="1"/>
    <col min="20" max="20" style="80" width="8.719285714285713" customWidth="1" bestFit="1"/>
    <col min="21" max="21" style="80" width="7.862142857142857" customWidth="1" bestFit="1"/>
    <col min="22" max="22" style="80" width="8.005" customWidth="1" bestFit="1"/>
    <col min="23" max="23" style="80" width="7.862142857142857" customWidth="1" bestFit="1"/>
    <col min="24" max="24" style="19" width="12.43357142857143" customWidth="1" bestFit="1" hidden="1"/>
  </cols>
  <sheetData>
    <row x14ac:dyDescent="0.25" r="1" customHeight="1" ht="17.25">
      <c r="A1" s="25" t="s">
        <v>0</v>
      </c>
      <c r="B1" s="25"/>
      <c r="C1" s="82"/>
      <c r="D1" s="83"/>
      <c r="E1" s="84"/>
      <c r="F1" s="84"/>
      <c r="G1" s="84"/>
      <c r="H1" s="84"/>
      <c r="I1" s="84"/>
      <c r="J1" s="84"/>
      <c r="K1" s="85"/>
      <c r="L1" s="84"/>
      <c r="M1" s="84"/>
      <c r="N1" s="84"/>
      <c r="O1" s="85"/>
      <c r="P1" s="84"/>
      <c r="Q1" s="84"/>
      <c r="R1" s="84"/>
      <c r="S1" s="86">
        <f>+TODAY()</f>
        <v>25569</v>
      </c>
      <c r="T1" s="29"/>
      <c r="U1" s="29"/>
      <c r="V1" s="29"/>
      <c r="W1" s="29"/>
      <c r="X1" s="3"/>
    </row>
    <row x14ac:dyDescent="0.25" r="2" customHeight="1" ht="18.75">
      <c r="A2" s="25" t="s">
        <v>2</v>
      </c>
      <c r="B2" s="25"/>
      <c r="C2" s="82"/>
      <c r="D2" s="83"/>
      <c r="E2" s="84"/>
      <c r="F2" s="84"/>
      <c r="G2" s="84"/>
      <c r="H2" s="31" t="s">
        <v>1</v>
      </c>
      <c r="I2" s="84"/>
      <c r="J2" s="84"/>
      <c r="K2" s="85"/>
      <c r="L2" s="84"/>
      <c r="M2" s="84"/>
      <c r="N2" s="84"/>
      <c r="O2" s="85"/>
      <c r="P2" s="84"/>
      <c r="Q2" s="84"/>
      <c r="R2" s="84"/>
      <c r="S2" s="29"/>
      <c r="T2" s="29"/>
      <c r="U2" s="29"/>
      <c r="V2" s="29"/>
      <c r="W2" s="29"/>
      <c r="X2" s="3"/>
    </row>
    <row x14ac:dyDescent="0.25" r="3" customHeight="1" ht="14.25">
      <c r="A3" s="82"/>
      <c r="B3" s="25"/>
      <c r="C3" s="82"/>
      <c r="D3" s="83"/>
      <c r="E3" s="84"/>
      <c r="F3" s="84"/>
      <c r="G3" s="87"/>
      <c r="H3" s="87"/>
      <c r="I3" s="84"/>
      <c r="J3" s="36" t="s">
        <v>53</v>
      </c>
      <c r="K3" s="88"/>
      <c r="L3" s="87"/>
      <c r="M3" s="87"/>
      <c r="N3" s="84"/>
      <c r="O3" s="85"/>
      <c r="P3" s="84"/>
      <c r="Q3" s="84"/>
      <c r="R3" s="89"/>
      <c r="S3" s="89"/>
      <c r="T3" s="84"/>
      <c r="U3" s="84"/>
      <c r="V3" s="84"/>
      <c r="W3" s="84"/>
      <c r="X3" s="3"/>
    </row>
    <row x14ac:dyDescent="0.25" r="4" customHeight="1" ht="13.5">
      <c r="A4" s="27"/>
      <c r="B4" s="26"/>
      <c r="C4" s="27"/>
      <c r="D4" s="28"/>
      <c r="E4" s="90"/>
      <c r="F4" s="90"/>
      <c r="G4" s="90"/>
      <c r="H4" s="90"/>
      <c r="I4" s="90"/>
      <c r="J4" s="90"/>
      <c r="K4" s="91"/>
      <c r="L4" s="90"/>
      <c r="M4" s="90"/>
      <c r="N4" s="90"/>
      <c r="O4" s="91"/>
      <c r="P4" s="90"/>
      <c r="Q4" s="90"/>
      <c r="R4" s="90"/>
      <c r="S4" s="90"/>
      <c r="T4" s="90"/>
      <c r="U4" s="90"/>
      <c r="V4" s="90"/>
      <c r="W4" s="90"/>
      <c r="X4" s="3"/>
    </row>
    <row x14ac:dyDescent="0.25" r="5" customHeight="1" ht="15.75">
      <c r="A5" s="37"/>
      <c r="B5" s="3"/>
      <c r="C5" s="27"/>
      <c r="D5" s="28"/>
      <c r="E5" s="44" t="s">
        <v>3</v>
      </c>
      <c r="F5" s="92"/>
      <c r="G5" s="93" t="s">
        <v>4</v>
      </c>
      <c r="H5" s="39"/>
      <c r="I5" s="39"/>
      <c r="J5" s="39"/>
      <c r="K5" s="94"/>
      <c r="L5" s="95" t="s">
        <v>5</v>
      </c>
      <c r="M5" s="96"/>
      <c r="N5" s="96"/>
      <c r="O5" s="97"/>
      <c r="P5" s="44" t="s">
        <v>6</v>
      </c>
      <c r="Q5" s="39"/>
      <c r="R5" s="92"/>
      <c r="S5" s="44" t="s">
        <v>7</v>
      </c>
      <c r="T5" s="44" t="s">
        <v>8</v>
      </c>
      <c r="U5" s="39"/>
      <c r="V5" s="92"/>
      <c r="W5" s="44" t="s">
        <v>9</v>
      </c>
      <c r="X5" s="98"/>
    </row>
    <row x14ac:dyDescent="0.25" r="6" customHeight="1" ht="13.5">
      <c r="A6" s="27"/>
      <c r="B6" s="26"/>
      <c r="C6" s="27"/>
      <c r="D6" s="28"/>
      <c r="E6" s="51">
        <v>20</v>
      </c>
      <c r="F6" s="52">
        <v>50</v>
      </c>
      <c r="G6" s="99" t="s">
        <v>10</v>
      </c>
      <c r="H6" s="99" t="s">
        <v>11</v>
      </c>
      <c r="I6" s="99" t="s">
        <v>12</v>
      </c>
      <c r="J6" s="99" t="s">
        <v>13</v>
      </c>
      <c r="K6" s="100" t="s">
        <v>14</v>
      </c>
      <c r="L6" s="101">
        <v>10.5</v>
      </c>
      <c r="M6" s="57">
        <v>21</v>
      </c>
      <c r="N6" s="54" t="s">
        <v>15</v>
      </c>
      <c r="O6" s="102" t="s">
        <v>16</v>
      </c>
      <c r="P6" s="103">
        <v>10.5</v>
      </c>
      <c r="Q6" s="57">
        <v>21</v>
      </c>
      <c r="R6" s="56" t="s">
        <v>15</v>
      </c>
      <c r="S6" s="56" t="s">
        <v>15</v>
      </c>
      <c r="T6" s="103">
        <v>10.5</v>
      </c>
      <c r="U6" s="102">
        <v>21</v>
      </c>
      <c r="V6" s="52">
        <v>170</v>
      </c>
      <c r="W6" s="104" t="s">
        <v>17</v>
      </c>
      <c r="X6" s="105" t="s">
        <v>18</v>
      </c>
    </row>
    <row x14ac:dyDescent="0.25" r="7" customHeight="1" ht="14.25">
      <c r="A7" s="60" t="s">
        <v>19</v>
      </c>
      <c r="B7" s="61" t="s">
        <v>21</v>
      </c>
      <c r="C7" s="61" t="s">
        <v>22</v>
      </c>
      <c r="D7" s="106" t="s">
        <v>23</v>
      </c>
      <c r="E7" s="66">
        <v>501101</v>
      </c>
      <c r="F7" s="67">
        <v>501102</v>
      </c>
      <c r="G7" s="69">
        <v>502102</v>
      </c>
      <c r="H7" s="69">
        <v>502103</v>
      </c>
      <c r="I7" s="69">
        <v>502118</v>
      </c>
      <c r="J7" s="69">
        <v>502119</v>
      </c>
      <c r="K7" s="107" t="s">
        <v>25</v>
      </c>
      <c r="L7" s="108">
        <v>503101</v>
      </c>
      <c r="M7" s="109">
        <v>503102</v>
      </c>
      <c r="N7" s="110" t="s">
        <v>26</v>
      </c>
      <c r="O7" s="111">
        <v>503133</v>
      </c>
      <c r="P7" s="66">
        <v>503201</v>
      </c>
      <c r="Q7" s="69">
        <v>503202</v>
      </c>
      <c r="R7" s="112" t="s">
        <v>27</v>
      </c>
      <c r="S7" s="113" t="s">
        <v>28</v>
      </c>
      <c r="T7" s="66">
        <v>503301</v>
      </c>
      <c r="U7" s="114">
        <v>503302</v>
      </c>
      <c r="V7" s="67">
        <v>503303</v>
      </c>
      <c r="W7" s="115"/>
      <c r="X7" s="116"/>
    </row>
    <row x14ac:dyDescent="0.25" r="8" customHeight="1" ht="17.25">
      <c r="A8" s="3" t="s">
        <v>56</v>
      </c>
      <c r="B8" s="3" t="s">
        <v>57</v>
      </c>
      <c r="C8" s="3" t="s">
        <v>58</v>
      </c>
      <c r="D8" s="117">
        <v>2024</v>
      </c>
      <c r="E8" s="118">
        <v>80130.8798828125</v>
      </c>
      <c r="F8" s="118">
        <v>161830.63671875</v>
      </c>
      <c r="G8" s="118">
        <v>444733.84375</v>
      </c>
      <c r="H8" s="118">
        <v>225788.828125</v>
      </c>
      <c r="I8" s="118">
        <v>576366.41015625</v>
      </c>
      <c r="J8" s="118">
        <v>311043.828125</v>
      </c>
      <c r="K8" s="22"/>
      <c r="L8" s="117">
        <v>1822387</v>
      </c>
      <c r="M8" s="118">
        <v>947387.437944412</v>
      </c>
      <c r="N8" s="118">
        <v>3849489.6875</v>
      </c>
      <c r="O8" s="22"/>
      <c r="P8" s="118">
        <v>283355.802656174</v>
      </c>
      <c r="Q8" s="118">
        <v>136297.899902344</v>
      </c>
      <c r="R8" s="118">
        <v>421761.470624924</v>
      </c>
      <c r="S8" s="118">
        <v>2011819.39489746</v>
      </c>
      <c r="T8" s="118">
        <v>60843.3283691406</v>
      </c>
      <c r="U8" s="118">
        <v>21404.4598236084</v>
      </c>
      <c r="V8" s="118">
        <v>215545.301757813</v>
      </c>
      <c r="W8" s="118">
        <v>56523.5599975586</v>
      </c>
      <c r="X8" s="3"/>
    </row>
    <row x14ac:dyDescent="0.25" r="9" customHeight="1" ht="17.25">
      <c r="A9" s="3" t="s">
        <v>56</v>
      </c>
      <c r="B9" s="3" t="s">
        <v>57</v>
      </c>
      <c r="C9" s="3" t="s">
        <v>58</v>
      </c>
      <c r="D9" s="117">
        <v>2025</v>
      </c>
      <c r="E9" s="118">
        <v>56055.2216796875</v>
      </c>
      <c r="F9" s="117">
        <v>110796</v>
      </c>
      <c r="G9" s="117">
        <v>86161</v>
      </c>
      <c r="H9" s="117">
        <v>29715</v>
      </c>
      <c r="I9" s="118">
        <v>324765.040039063</v>
      </c>
      <c r="J9" s="118">
        <v>99402.330078125</v>
      </c>
      <c r="K9" s="22"/>
      <c r="L9" s="117">
        <v>2475155</v>
      </c>
      <c r="M9" s="118">
        <v>1082275.3885498</v>
      </c>
      <c r="N9" s="118">
        <v>4082417.2305603</v>
      </c>
      <c r="O9" s="22"/>
      <c r="P9" s="118">
        <v>346877.869140625</v>
      </c>
      <c r="Q9" s="118">
        <v>174050.700073242</v>
      </c>
      <c r="R9" s="118">
        <v>487018.98828125</v>
      </c>
      <c r="S9" s="118">
        <v>1952500.60644531</v>
      </c>
      <c r="T9" s="118">
        <v>60953.310546875</v>
      </c>
      <c r="U9" s="118">
        <v>17128.3300628662</v>
      </c>
      <c r="V9" s="118">
        <v>203445.813476563</v>
      </c>
      <c r="W9" s="118">
        <v>14519.9000244141</v>
      </c>
      <c r="X9" s="3"/>
    </row>
    <row x14ac:dyDescent="0.25" r="10" customHeight="1" ht="17.25">
      <c r="A10" s="3" t="s">
        <v>56</v>
      </c>
      <c r="B10" s="3" t="s">
        <v>57</v>
      </c>
      <c r="C10" s="3" t="s">
        <v>58</v>
      </c>
      <c r="D10" s="22" t="s">
        <v>59</v>
      </c>
      <c r="E10" s="119">
        <v>-0.3</v>
      </c>
      <c r="F10" s="119">
        <v>-0.32</v>
      </c>
      <c r="G10" s="119">
        <v>-0.81</v>
      </c>
      <c r="H10" s="119">
        <v>-0.87</v>
      </c>
      <c r="I10" s="119">
        <v>-0.44</v>
      </c>
      <c r="J10" s="119">
        <v>-0.68</v>
      </c>
      <c r="K10" s="22" t="s">
        <v>60</v>
      </c>
      <c r="L10" s="119">
        <v>0.36</v>
      </c>
      <c r="M10" s="119">
        <v>0.14</v>
      </c>
      <c r="N10" s="119">
        <v>0.06</v>
      </c>
      <c r="O10" s="22" t="s">
        <v>60</v>
      </c>
      <c r="P10" s="119">
        <v>0.22</v>
      </c>
      <c r="Q10" s="119">
        <v>0.28</v>
      </c>
      <c r="R10" s="119">
        <v>0.15</v>
      </c>
      <c r="S10" s="119">
        <v>-0.03</v>
      </c>
      <c r="T10" s="119">
        <v>0</v>
      </c>
      <c r="U10" s="119">
        <v>-0.2</v>
      </c>
      <c r="V10" s="119">
        <v>-0.06</v>
      </c>
      <c r="W10" s="119">
        <v>-0.74</v>
      </c>
      <c r="X10" s="3"/>
    </row>
    <row x14ac:dyDescent="0.25" r="11" customHeight="1" ht="17.25">
      <c r="A11" s="3" t="s">
        <v>56</v>
      </c>
      <c r="B11" s="3" t="s">
        <v>61</v>
      </c>
      <c r="C11" s="3" t="s">
        <v>62</v>
      </c>
      <c r="D11" s="117">
        <v>2024</v>
      </c>
      <c r="E11" s="118">
        <v>176.080006718636</v>
      </c>
      <c r="F11" s="117">
        <v>3292</v>
      </c>
      <c r="G11" s="117">
        <v>794</v>
      </c>
      <c r="H11" s="117">
        <v>1050</v>
      </c>
      <c r="I11" s="117">
        <v>14526</v>
      </c>
      <c r="J11" s="117">
        <v>2980</v>
      </c>
      <c r="K11" s="22"/>
      <c r="L11" s="117">
        <v>98379</v>
      </c>
      <c r="M11" s="118">
        <v>72981.328125</v>
      </c>
      <c r="N11" s="118">
        <v>240444.171875</v>
      </c>
      <c r="O11" s="22"/>
      <c r="P11" s="118">
        <v>16708.330078125</v>
      </c>
      <c r="Q11" s="117">
        <v>10092</v>
      </c>
      <c r="R11" s="118">
        <v>45399.9315624237</v>
      </c>
      <c r="S11" s="118">
        <v>116474.75</v>
      </c>
      <c r="T11" s="117">
        <v>4186</v>
      </c>
      <c r="U11" s="117">
        <v>688</v>
      </c>
      <c r="V11" s="118">
        <v>4020.5</v>
      </c>
      <c r="W11" s="29"/>
      <c r="X11" s="3"/>
    </row>
    <row x14ac:dyDescent="0.25" r="12" customHeight="1" ht="17.25">
      <c r="A12" s="3" t="s">
        <v>56</v>
      </c>
      <c r="B12" s="3" t="s">
        <v>61</v>
      </c>
      <c r="C12" s="3" t="s">
        <v>62</v>
      </c>
      <c r="D12" s="117">
        <v>2025</v>
      </c>
      <c r="E12" s="118">
        <v>1176.0400390625</v>
      </c>
      <c r="F12" s="117">
        <v>672</v>
      </c>
      <c r="G12" s="117">
        <v>1140</v>
      </c>
      <c r="H12" s="117">
        <v>1050</v>
      </c>
      <c r="I12" s="117">
        <v>1375</v>
      </c>
      <c r="J12" s="117">
        <v>2520</v>
      </c>
      <c r="K12" s="22"/>
      <c r="L12" s="118">
        <v>183145.5</v>
      </c>
      <c r="M12" s="118">
        <v>80050.6698436737</v>
      </c>
      <c r="N12" s="118">
        <v>262659.171875</v>
      </c>
      <c r="O12" s="22"/>
      <c r="P12" s="118">
        <v>49412.5</v>
      </c>
      <c r="Q12" s="117">
        <v>17934</v>
      </c>
      <c r="R12" s="118">
        <v>26173.3399353027</v>
      </c>
      <c r="S12" s="118">
        <v>85743.5</v>
      </c>
      <c r="T12" s="117">
        <v>1680</v>
      </c>
      <c r="U12" s="118">
        <v>279.500015258789</v>
      </c>
      <c r="V12" s="118">
        <v>5740.490234375</v>
      </c>
      <c r="W12" s="29"/>
      <c r="X12" s="3"/>
    </row>
    <row x14ac:dyDescent="0.25" r="13" customHeight="1" ht="17.25">
      <c r="A13" s="3" t="s">
        <v>56</v>
      </c>
      <c r="B13" s="3" t="s">
        <v>61</v>
      </c>
      <c r="C13" s="3" t="s">
        <v>62</v>
      </c>
      <c r="D13" s="22" t="s">
        <v>59</v>
      </c>
      <c r="E13" s="119">
        <v>5.68</v>
      </c>
      <c r="F13" s="119">
        <v>-0.8</v>
      </c>
      <c r="G13" s="119">
        <v>0.44</v>
      </c>
      <c r="H13" s="119">
        <v>0</v>
      </c>
      <c r="I13" s="119">
        <v>-0.91</v>
      </c>
      <c r="J13" s="119">
        <v>-0.15</v>
      </c>
      <c r="K13" s="22" t="s">
        <v>60</v>
      </c>
      <c r="L13" s="119">
        <v>0.86</v>
      </c>
      <c r="M13" s="119">
        <v>0.1</v>
      </c>
      <c r="N13" s="119">
        <v>0.09</v>
      </c>
      <c r="O13" s="22" t="s">
        <v>60</v>
      </c>
      <c r="P13" s="119">
        <v>1.96</v>
      </c>
      <c r="Q13" s="119">
        <v>0.78</v>
      </c>
      <c r="R13" s="119">
        <v>-0.42</v>
      </c>
      <c r="S13" s="119">
        <v>-0.26</v>
      </c>
      <c r="T13" s="119">
        <v>-0.6</v>
      </c>
      <c r="U13" s="119">
        <v>-0.59</v>
      </c>
      <c r="V13" s="119">
        <v>0.43</v>
      </c>
      <c r="W13" s="29" t="s">
        <v>60</v>
      </c>
      <c r="X13" s="3"/>
    </row>
    <row x14ac:dyDescent="0.25" r="14" customHeight="1" ht="17.25">
      <c r="A14" s="3" t="s">
        <v>56</v>
      </c>
      <c r="B14" s="3" t="s">
        <v>63</v>
      </c>
      <c r="C14" s="3" t="s">
        <v>64</v>
      </c>
      <c r="D14" s="117">
        <v>2024</v>
      </c>
      <c r="E14" s="118">
        <v>227266.243164063</v>
      </c>
      <c r="F14" s="118">
        <v>524276.328125</v>
      </c>
      <c r="G14" s="118">
        <v>268885.65625</v>
      </c>
      <c r="H14" s="118">
        <v>86247.5</v>
      </c>
      <c r="I14" s="118">
        <v>321145.75</v>
      </c>
      <c r="J14" s="117">
        <v>133559</v>
      </c>
      <c r="K14" s="22"/>
      <c r="L14" s="118">
        <v>1350850.5</v>
      </c>
      <c r="M14" s="118">
        <v>1101958.03125</v>
      </c>
      <c r="N14" s="118">
        <v>1613082.3125</v>
      </c>
      <c r="O14" s="22"/>
      <c r="P14" s="118">
        <v>163670.830078125</v>
      </c>
      <c r="Q14" s="117">
        <v>89678</v>
      </c>
      <c r="R14" s="118">
        <v>281703.701660156</v>
      </c>
      <c r="S14" s="117">
        <v>1209099</v>
      </c>
      <c r="T14" s="118">
        <v>5733.99992370605</v>
      </c>
      <c r="U14" s="118">
        <v>4443.33998298645</v>
      </c>
      <c r="V14" s="118">
        <v>211667.4921875</v>
      </c>
      <c r="W14" s="118">
        <v>8230.83016967773</v>
      </c>
      <c r="X14" s="3"/>
    </row>
    <row x14ac:dyDescent="0.25" r="15" customHeight="1" ht="17.25">
      <c r="A15" s="3" t="s">
        <v>56</v>
      </c>
      <c r="B15" s="3" t="s">
        <v>63</v>
      </c>
      <c r="C15" s="3" t="s">
        <v>64</v>
      </c>
      <c r="D15" s="117">
        <v>2025</v>
      </c>
      <c r="E15" s="118">
        <v>201881.2421875</v>
      </c>
      <c r="F15" s="118">
        <v>366815.4609375</v>
      </c>
      <c r="G15" s="117">
        <v>22230</v>
      </c>
      <c r="H15" s="118">
        <v>9012.5</v>
      </c>
      <c r="I15" s="118">
        <v>146993.670043945</v>
      </c>
      <c r="J15" s="117">
        <v>50952</v>
      </c>
      <c r="K15" s="22"/>
      <c r="L15" s="118">
        <v>1341220.5</v>
      </c>
      <c r="M15" s="118">
        <v>1032709.375</v>
      </c>
      <c r="N15" s="118">
        <v>1547803.34375</v>
      </c>
      <c r="O15" s="22"/>
      <c r="P15" s="118">
        <v>147054.16015625</v>
      </c>
      <c r="Q15" s="117">
        <v>87160</v>
      </c>
      <c r="R15" s="118">
        <v>256119.984375</v>
      </c>
      <c r="S15" s="118">
        <v>1082100.5</v>
      </c>
      <c r="T15" s="117">
        <v>4774</v>
      </c>
      <c r="U15" s="118">
        <v>5016.66007804871</v>
      </c>
      <c r="V15" s="118">
        <v>179977.5703125</v>
      </c>
      <c r="W15" s="118">
        <v>11214.3095703125</v>
      </c>
      <c r="X15" s="3"/>
    </row>
    <row x14ac:dyDescent="0.25" r="16" customHeight="1" ht="17.25">
      <c r="A16" s="3" t="s">
        <v>56</v>
      </c>
      <c r="B16" s="3" t="s">
        <v>63</v>
      </c>
      <c r="C16" s="3" t="s">
        <v>64</v>
      </c>
      <c r="D16" s="22" t="s">
        <v>59</v>
      </c>
      <c r="E16" s="119">
        <v>-0.11</v>
      </c>
      <c r="F16" s="119">
        <v>-0.3</v>
      </c>
      <c r="G16" s="119">
        <v>-0.92</v>
      </c>
      <c r="H16" s="119">
        <v>-0.9</v>
      </c>
      <c r="I16" s="119">
        <v>-0.54</v>
      </c>
      <c r="J16" s="119">
        <v>-0.62</v>
      </c>
      <c r="K16" s="22" t="s">
        <v>60</v>
      </c>
      <c r="L16" s="119">
        <v>-0.01</v>
      </c>
      <c r="M16" s="119">
        <v>-0.06</v>
      </c>
      <c r="N16" s="119">
        <v>-0.04</v>
      </c>
      <c r="O16" s="22" t="s">
        <v>60</v>
      </c>
      <c r="P16" s="119">
        <v>-0.1</v>
      </c>
      <c r="Q16" s="119">
        <v>-0.03</v>
      </c>
      <c r="R16" s="119">
        <v>-0.09</v>
      </c>
      <c r="S16" s="119">
        <v>-0.11</v>
      </c>
      <c r="T16" s="119">
        <v>-0.17</v>
      </c>
      <c r="U16" s="119">
        <v>0.13</v>
      </c>
      <c r="V16" s="119">
        <v>-0.15</v>
      </c>
      <c r="W16" s="119">
        <v>0.36</v>
      </c>
      <c r="X16" s="3"/>
    </row>
    <row x14ac:dyDescent="0.25" r="17" customHeight="1" ht="17.25">
      <c r="A17" s="3" t="s">
        <v>56</v>
      </c>
      <c r="B17" s="3" t="s">
        <v>65</v>
      </c>
      <c r="C17" s="3" t="s">
        <v>65</v>
      </c>
      <c r="D17" s="117">
        <v>2024</v>
      </c>
      <c r="E17" s="118">
        <v>8.60999965667725</v>
      </c>
      <c r="F17" s="118">
        <v>15716.7899622917</v>
      </c>
      <c r="G17" s="118">
        <v>417.749996185303</v>
      </c>
      <c r="H17" s="118">
        <v>68412.5299987793</v>
      </c>
      <c r="I17" s="118">
        <v>654.500000953674</v>
      </c>
      <c r="J17" s="118">
        <v>42645.7500038147</v>
      </c>
      <c r="K17" s="22"/>
      <c r="L17" s="118">
        <v>36.5800018310547</v>
      </c>
      <c r="M17" s="118">
        <v>41941.3599610329</v>
      </c>
      <c r="N17" s="118">
        <v>542.919994354248</v>
      </c>
      <c r="O17" s="22"/>
      <c r="P17" s="118">
        <v>9223.02999997139</v>
      </c>
      <c r="Q17" s="118">
        <v>-24801.4498624802</v>
      </c>
      <c r="R17" s="118">
        <v>1373.2799987793</v>
      </c>
      <c r="S17" s="118">
        <v>1456.59997558594</v>
      </c>
      <c r="T17" s="118">
        <v>3.44000005722046</v>
      </c>
      <c r="U17" s="117">
        <v>-1118</v>
      </c>
      <c r="V17" s="118">
        <v>5286.7200012207</v>
      </c>
      <c r="W17" s="118">
        <v>7629.98016357422</v>
      </c>
      <c r="X17" s="3"/>
    </row>
    <row x14ac:dyDescent="0.25" r="18" customHeight="1" ht="17.25">
      <c r="A18" s="3" t="s">
        <v>56</v>
      </c>
      <c r="B18" s="3" t="s">
        <v>65</v>
      </c>
      <c r="C18" s="3" t="s">
        <v>65</v>
      </c>
      <c r="D18" s="117">
        <v>2025</v>
      </c>
      <c r="E18" s="118">
        <v>48.0499992370605</v>
      </c>
      <c r="F18" s="118">
        <v>51532.3107819557</v>
      </c>
      <c r="G18" s="118">
        <v>389.669995307922</v>
      </c>
      <c r="H18" s="118">
        <v>93060.6700077057</v>
      </c>
      <c r="I18" s="118">
        <v>2481.75002288818</v>
      </c>
      <c r="J18" s="118">
        <v>76711.5000104904</v>
      </c>
      <c r="K18" s="22"/>
      <c r="L18" s="118">
        <v>35783.6100349426</v>
      </c>
      <c r="M18" s="118">
        <v>55258.8184509277</v>
      </c>
      <c r="N18" s="118">
        <v>47609.6000671387</v>
      </c>
      <c r="O18" s="22"/>
      <c r="P18" s="118">
        <v>10707.5</v>
      </c>
      <c r="Q18" s="118">
        <v>2500.88013553619</v>
      </c>
      <c r="R18" s="118">
        <v>-212.220001220703</v>
      </c>
      <c r="S18" s="117">
        <v>19179</v>
      </c>
      <c r="T18" s="118">
        <v>3.44000005722046</v>
      </c>
      <c r="U18" s="118">
        <v>26.4000005722046</v>
      </c>
      <c r="V18" s="118">
        <v>11908.710000515</v>
      </c>
      <c r="W18" s="118">
        <v>7063.9301738739</v>
      </c>
      <c r="X18" s="3"/>
    </row>
    <row x14ac:dyDescent="0.25" r="19" customHeight="1" ht="17.25">
      <c r="A19" s="3" t="s">
        <v>56</v>
      </c>
      <c r="B19" s="3" t="s">
        <v>65</v>
      </c>
      <c r="C19" s="3" t="s">
        <v>65</v>
      </c>
      <c r="D19" s="22" t="s">
        <v>59</v>
      </c>
      <c r="E19" s="119">
        <v>4.58</v>
      </c>
      <c r="F19" s="119">
        <v>2.28</v>
      </c>
      <c r="G19" s="119">
        <v>-0.07</v>
      </c>
      <c r="H19" s="119">
        <v>0.36</v>
      </c>
      <c r="I19" s="119">
        <v>2.79</v>
      </c>
      <c r="J19" s="119">
        <v>0.8</v>
      </c>
      <c r="K19" s="22" t="s">
        <v>60</v>
      </c>
      <c r="L19" s="120" t="s">
        <v>125</v>
      </c>
      <c r="M19" s="119">
        <v>0.32</v>
      </c>
      <c r="N19" s="120" t="s">
        <v>126</v>
      </c>
      <c r="O19" s="22" t="s">
        <v>60</v>
      </c>
      <c r="P19" s="119">
        <v>0.16</v>
      </c>
      <c r="Q19" s="119">
        <v>-1.1</v>
      </c>
      <c r="R19" s="119">
        <v>-1.15</v>
      </c>
      <c r="S19" s="120" t="s">
        <v>127</v>
      </c>
      <c r="T19" s="119">
        <v>0</v>
      </c>
      <c r="U19" s="119">
        <v>-1.02</v>
      </c>
      <c r="V19" s="119">
        <v>1.25</v>
      </c>
      <c r="W19" s="119">
        <v>-0.07</v>
      </c>
      <c r="X19" s="3"/>
    </row>
    <row x14ac:dyDescent="0.25" r="20" customHeight="1" ht="17.25">
      <c r="A20" s="3" t="s">
        <v>56</v>
      </c>
      <c r="B20" s="3" t="s">
        <v>72</v>
      </c>
      <c r="C20" s="3" t="s">
        <v>73</v>
      </c>
      <c r="D20" s="117">
        <v>2024</v>
      </c>
      <c r="E20" s="118">
        <v>456.839996337891</v>
      </c>
      <c r="F20" s="118">
        <v>1077.86999511719</v>
      </c>
      <c r="G20" s="117">
        <v>2629</v>
      </c>
      <c r="H20" s="117">
        <v>770</v>
      </c>
      <c r="I20" s="117">
        <v>2484</v>
      </c>
      <c r="J20" s="117">
        <v>1008</v>
      </c>
      <c r="K20" s="22"/>
      <c r="L20" s="117">
        <v>1710</v>
      </c>
      <c r="M20" s="118">
        <v>986.669982910156</v>
      </c>
      <c r="N20" s="118">
        <v>2606.65991210938</v>
      </c>
      <c r="O20" s="22"/>
      <c r="P20" s="117">
        <v>572</v>
      </c>
      <c r="Q20" s="117">
        <v>88</v>
      </c>
      <c r="R20" s="117">
        <v>455</v>
      </c>
      <c r="S20" s="117">
        <v>1930</v>
      </c>
      <c r="T20" s="117">
        <v>118</v>
      </c>
      <c r="U20" s="118">
        <v>90.5</v>
      </c>
      <c r="V20" s="118">
        <v>316.75</v>
      </c>
      <c r="W20" s="118">
        <v>463.279998779297</v>
      </c>
      <c r="X20" s="3"/>
    </row>
    <row x14ac:dyDescent="0.25" r="21" customHeight="1" ht="17.25">
      <c r="A21" s="3" t="s">
        <v>56</v>
      </c>
      <c r="B21" s="3" t="s">
        <v>72</v>
      </c>
      <c r="C21" s="3" t="s">
        <v>74</v>
      </c>
      <c r="D21" s="117">
        <v>2025</v>
      </c>
      <c r="E21" s="118">
        <v>101.519996643066</v>
      </c>
      <c r="F21" s="118">
        <v>113.459999084473</v>
      </c>
      <c r="G21" s="29"/>
      <c r="H21" s="117">
        <v>110</v>
      </c>
      <c r="I21" s="117">
        <v>145</v>
      </c>
      <c r="J21" s="118">
        <v>132.5</v>
      </c>
      <c r="K21" s="22"/>
      <c r="L21" s="117">
        <v>399</v>
      </c>
      <c r="M21" s="117">
        <v>185</v>
      </c>
      <c r="N21" s="117">
        <v>136</v>
      </c>
      <c r="O21" s="22"/>
      <c r="P21" s="117">
        <v>104</v>
      </c>
      <c r="Q21" s="29"/>
      <c r="R21" s="118">
        <v>-102.379997253418</v>
      </c>
      <c r="S21" s="117">
        <v>150</v>
      </c>
      <c r="T21" s="29"/>
      <c r="U21" s="29"/>
      <c r="V21" s="29"/>
      <c r="W21" s="29"/>
      <c r="X21" s="3"/>
    </row>
    <row x14ac:dyDescent="0.25" r="22" customHeight="1" ht="17.25">
      <c r="A22" s="3" t="s">
        <v>56</v>
      </c>
      <c r="B22" s="3" t="s">
        <v>72</v>
      </c>
      <c r="C22" s="3" t="s">
        <v>74</v>
      </c>
      <c r="D22" s="22" t="s">
        <v>59</v>
      </c>
      <c r="E22" s="119">
        <v>-0.78</v>
      </c>
      <c r="F22" s="119">
        <v>-0.89</v>
      </c>
      <c r="G22" s="119">
        <v>-1</v>
      </c>
      <c r="H22" s="119">
        <v>-0.86</v>
      </c>
      <c r="I22" s="119">
        <v>-0.94</v>
      </c>
      <c r="J22" s="119">
        <v>-0.87</v>
      </c>
      <c r="K22" s="22" t="s">
        <v>60</v>
      </c>
      <c r="L22" s="119">
        <v>-0.77</v>
      </c>
      <c r="M22" s="119">
        <v>-0.81</v>
      </c>
      <c r="N22" s="119">
        <v>-0.95</v>
      </c>
      <c r="O22" s="22" t="s">
        <v>60</v>
      </c>
      <c r="P22" s="119">
        <v>-0.82</v>
      </c>
      <c r="Q22" s="119">
        <v>-1</v>
      </c>
      <c r="R22" s="119">
        <v>-1.23</v>
      </c>
      <c r="S22" s="119">
        <v>-0.92</v>
      </c>
      <c r="T22" s="119">
        <v>-1</v>
      </c>
      <c r="U22" s="119">
        <v>-1</v>
      </c>
      <c r="V22" s="119">
        <v>-1</v>
      </c>
      <c r="W22" s="119">
        <v>-1</v>
      </c>
      <c r="X22" s="3"/>
    </row>
    <row x14ac:dyDescent="0.25" r="23" customHeight="1" ht="17.25">
      <c r="A23" s="3" t="s">
        <v>56</v>
      </c>
      <c r="B23" s="3" t="s">
        <v>75</v>
      </c>
      <c r="C23" s="3" t="s">
        <v>76</v>
      </c>
      <c r="D23" s="117">
        <v>2024</v>
      </c>
      <c r="E23" s="118">
        <v>13915.9000244141</v>
      </c>
      <c r="F23" s="118">
        <v>21312.7901611328</v>
      </c>
      <c r="G23" s="118">
        <v>80060.2504882813</v>
      </c>
      <c r="H23" s="118">
        <v>31334.380859375</v>
      </c>
      <c r="I23" s="118">
        <v>86029.5</v>
      </c>
      <c r="J23" s="118">
        <v>26595.5</v>
      </c>
      <c r="K23" s="22"/>
      <c r="L23" s="117">
        <v>93081</v>
      </c>
      <c r="M23" s="118">
        <v>50290.208984375</v>
      </c>
      <c r="N23" s="118">
        <v>128601.126876831</v>
      </c>
      <c r="O23" s="22"/>
      <c r="P23" s="118">
        <v>19322.1000976563</v>
      </c>
      <c r="Q23" s="118">
        <v>6351.28004646301</v>
      </c>
      <c r="R23" s="118">
        <v>15304.9804077148</v>
      </c>
      <c r="S23" s="118">
        <v>63367.960723877</v>
      </c>
      <c r="T23" s="118">
        <v>5934.52001953125</v>
      </c>
      <c r="U23" s="118">
        <v>399.719985961914</v>
      </c>
      <c r="V23" s="118">
        <v>13763.1201782227</v>
      </c>
      <c r="W23" s="118">
        <v>60495.9907226563</v>
      </c>
      <c r="X23" s="3"/>
    </row>
    <row x14ac:dyDescent="0.25" r="24" customHeight="1" ht="17.25">
      <c r="A24" s="3" t="s">
        <v>56</v>
      </c>
      <c r="B24" s="3" t="s">
        <v>75</v>
      </c>
      <c r="C24" s="3" t="s">
        <v>76</v>
      </c>
      <c r="D24" s="117">
        <v>2025</v>
      </c>
      <c r="E24" s="118">
        <v>13266.8300170898</v>
      </c>
      <c r="F24" s="118">
        <v>21193.33984375</v>
      </c>
      <c r="G24" s="118">
        <v>65266.890625</v>
      </c>
      <c r="H24" s="118">
        <v>11806.6799926758</v>
      </c>
      <c r="I24" s="118">
        <v>72342.189453125</v>
      </c>
      <c r="J24" s="118">
        <v>19626.419921875</v>
      </c>
      <c r="K24" s="22"/>
      <c r="L24" s="118">
        <v>95308.75</v>
      </c>
      <c r="M24" s="118">
        <v>44284.9406738281</v>
      </c>
      <c r="N24" s="118">
        <v>112984.118743896</v>
      </c>
      <c r="O24" s="22"/>
      <c r="P24" s="118">
        <v>20886.7302246094</v>
      </c>
      <c r="Q24" s="118">
        <v>7164.29006958008</v>
      </c>
      <c r="R24" s="118">
        <v>8974.91015625</v>
      </c>
      <c r="S24" s="118">
        <v>50864.0799999237</v>
      </c>
      <c r="T24" s="118">
        <v>4788.77005004883</v>
      </c>
      <c r="U24" s="118">
        <v>678.719993591309</v>
      </c>
      <c r="V24" s="118">
        <v>12933.8602294922</v>
      </c>
      <c r="W24" s="118">
        <v>37567.3303871155</v>
      </c>
      <c r="X24" s="3"/>
    </row>
    <row x14ac:dyDescent="0.25" r="25" customHeight="1" ht="17.25">
      <c r="A25" s="3" t="s">
        <v>56</v>
      </c>
      <c r="B25" s="3" t="s">
        <v>75</v>
      </c>
      <c r="C25" s="3" t="s">
        <v>76</v>
      </c>
      <c r="D25" s="22" t="s">
        <v>59</v>
      </c>
      <c r="E25" s="119">
        <v>-0.05</v>
      </c>
      <c r="F25" s="119">
        <v>-0.01</v>
      </c>
      <c r="G25" s="119">
        <v>-0.18</v>
      </c>
      <c r="H25" s="119">
        <v>-0.62</v>
      </c>
      <c r="I25" s="119">
        <v>-0.16</v>
      </c>
      <c r="J25" s="119">
        <v>-0.26</v>
      </c>
      <c r="K25" s="22" t="s">
        <v>60</v>
      </c>
      <c r="L25" s="119">
        <v>0.02</v>
      </c>
      <c r="M25" s="119">
        <v>-0.12</v>
      </c>
      <c r="N25" s="119">
        <v>-0.12</v>
      </c>
      <c r="O25" s="22" t="s">
        <v>60</v>
      </c>
      <c r="P25" s="119">
        <v>0.08</v>
      </c>
      <c r="Q25" s="119">
        <v>0.13</v>
      </c>
      <c r="R25" s="119">
        <v>-0.41</v>
      </c>
      <c r="S25" s="119">
        <v>-0.2</v>
      </c>
      <c r="T25" s="119">
        <v>-0.19</v>
      </c>
      <c r="U25" s="119">
        <v>0.7</v>
      </c>
      <c r="V25" s="119">
        <v>-0.06</v>
      </c>
      <c r="W25" s="119">
        <v>-0.38</v>
      </c>
      <c r="X25" s="3"/>
    </row>
    <row x14ac:dyDescent="0.25" r="26" customHeight="1" ht="17.25">
      <c r="A26" s="3" t="s">
        <v>56</v>
      </c>
      <c r="B26" s="3" t="s">
        <v>78</v>
      </c>
      <c r="C26" s="3" t="s">
        <v>79</v>
      </c>
      <c r="D26" s="117">
        <v>2024</v>
      </c>
      <c r="E26" s="118">
        <v>407.209991455078</v>
      </c>
      <c r="F26" s="118">
        <v>170.190002441406</v>
      </c>
      <c r="G26" s="118">
        <v>-9.96000003814697</v>
      </c>
      <c r="H26" s="29"/>
      <c r="I26" s="117">
        <v>1380</v>
      </c>
      <c r="J26" s="117">
        <v>378</v>
      </c>
      <c r="K26" s="22"/>
      <c r="L26" s="118">
        <v>1534.25</v>
      </c>
      <c r="M26" s="118">
        <v>1572.5</v>
      </c>
      <c r="N26" s="117">
        <v>3672</v>
      </c>
      <c r="O26" s="22"/>
      <c r="P26" s="118">
        <v>463.670013427734</v>
      </c>
      <c r="Q26" s="29"/>
      <c r="R26" s="118">
        <v>159.229995727539</v>
      </c>
      <c r="S26" s="117">
        <v>580</v>
      </c>
      <c r="T26" s="117">
        <v>177</v>
      </c>
      <c r="U26" s="29"/>
      <c r="V26" s="118">
        <v>75.4199981689453</v>
      </c>
      <c r="W26" s="117">
        <v>240</v>
      </c>
      <c r="X26" s="3"/>
    </row>
    <row x14ac:dyDescent="0.25" r="27" customHeight="1" ht="17.25">
      <c r="A27" s="3" t="s">
        <v>56</v>
      </c>
      <c r="B27" s="3" t="s">
        <v>78</v>
      </c>
      <c r="C27" s="3" t="s">
        <v>79</v>
      </c>
      <c r="D27" s="117">
        <v>2025</v>
      </c>
      <c r="E27" s="118">
        <v>1167.47996520996</v>
      </c>
      <c r="F27" s="118">
        <v>1812.81994628906</v>
      </c>
      <c r="G27" s="118">
        <v>2708.669921875</v>
      </c>
      <c r="H27" s="117">
        <v>1650</v>
      </c>
      <c r="I27" s="117">
        <v>4640</v>
      </c>
      <c r="J27" s="118">
        <v>1722.5</v>
      </c>
      <c r="K27" s="22"/>
      <c r="L27" s="118">
        <v>10972.5</v>
      </c>
      <c r="M27" s="118">
        <v>5025.830078125</v>
      </c>
      <c r="N27" s="118">
        <v>11839.0899658203</v>
      </c>
      <c r="O27" s="22"/>
      <c r="P27" s="118">
        <v>1837.34005737305</v>
      </c>
      <c r="Q27" s="118">
        <v>1481.34002685547</v>
      </c>
      <c r="R27" s="118">
        <v>1076.82000732422</v>
      </c>
      <c r="S27" s="118">
        <v>4420.83999633789</v>
      </c>
      <c r="T27" s="118">
        <v>511.329986572266</v>
      </c>
      <c r="U27" s="118">
        <v>45.25</v>
      </c>
      <c r="V27" s="118">
        <v>1018.11999511719</v>
      </c>
      <c r="W27" s="118">
        <v>1585.39996337891</v>
      </c>
      <c r="X27" s="3"/>
    </row>
    <row x14ac:dyDescent="0.25" r="28" customHeight="1" ht="17.25">
      <c r="A28" s="3" t="s">
        <v>56</v>
      </c>
      <c r="B28" s="3" t="s">
        <v>78</v>
      </c>
      <c r="C28" s="3" t="s">
        <v>79</v>
      </c>
      <c r="D28" s="22" t="s">
        <v>59</v>
      </c>
      <c r="E28" s="119">
        <v>1.87</v>
      </c>
      <c r="F28" s="119">
        <v>9.65</v>
      </c>
      <c r="G28" s="120" t="s">
        <v>128</v>
      </c>
      <c r="H28" s="120" t="s">
        <v>60</v>
      </c>
      <c r="I28" s="119">
        <v>2.36</v>
      </c>
      <c r="J28" s="119">
        <v>3.56</v>
      </c>
      <c r="K28" s="22" t="s">
        <v>60</v>
      </c>
      <c r="L28" s="119">
        <v>6.15</v>
      </c>
      <c r="M28" s="119">
        <v>2.2</v>
      </c>
      <c r="N28" s="119">
        <v>2.22</v>
      </c>
      <c r="O28" s="22" t="s">
        <v>60</v>
      </c>
      <c r="P28" s="119">
        <v>2.96</v>
      </c>
      <c r="Q28" s="120" t="s">
        <v>60</v>
      </c>
      <c r="R28" s="119">
        <v>5.76</v>
      </c>
      <c r="S28" s="119">
        <v>6.62</v>
      </c>
      <c r="T28" s="119">
        <v>1.89</v>
      </c>
      <c r="U28" s="120" t="s">
        <v>60</v>
      </c>
      <c r="V28" s="120" t="s">
        <v>129</v>
      </c>
      <c r="W28" s="119">
        <v>5.61</v>
      </c>
      <c r="X28" s="3"/>
    </row>
    <row x14ac:dyDescent="0.25" r="29" customHeight="1" ht="17.25">
      <c r="A29" s="3" t="s">
        <v>56</v>
      </c>
      <c r="B29" s="3" t="s">
        <v>81</v>
      </c>
      <c r="C29" s="3" t="s">
        <v>82</v>
      </c>
      <c r="D29" s="117">
        <v>2024</v>
      </c>
      <c r="E29" s="118">
        <v>15087.7703857422</v>
      </c>
      <c r="F29" s="118">
        <v>24476.169921875</v>
      </c>
      <c r="G29" s="118">
        <v>99840.181640625</v>
      </c>
      <c r="H29" s="118">
        <v>40387.208984375</v>
      </c>
      <c r="I29" s="118">
        <v>79581.5</v>
      </c>
      <c r="J29" s="118">
        <v>37286.5</v>
      </c>
      <c r="K29" s="22"/>
      <c r="L29" s="118">
        <v>126231.25</v>
      </c>
      <c r="M29" s="118">
        <v>62493.521484375</v>
      </c>
      <c r="N29" s="118">
        <v>195461.099243164</v>
      </c>
      <c r="O29" s="22"/>
      <c r="P29" s="118">
        <v>26844.3295898438</v>
      </c>
      <c r="Q29" s="118">
        <v>7759.21008300781</v>
      </c>
      <c r="R29" s="118">
        <v>20654.0800132751</v>
      </c>
      <c r="S29" s="118">
        <v>98601.4995117188</v>
      </c>
      <c r="T29" s="118">
        <v>8615.00024414063</v>
      </c>
      <c r="U29" s="118">
        <v>1168.880027771</v>
      </c>
      <c r="V29" s="118">
        <v>20015.0897216797</v>
      </c>
      <c r="W29" s="118">
        <v>56924.7199707031</v>
      </c>
      <c r="X29" s="3"/>
    </row>
    <row x14ac:dyDescent="0.25" r="30" customHeight="1" ht="17.25">
      <c r="A30" s="3" t="s">
        <v>56</v>
      </c>
      <c r="B30" s="3" t="s">
        <v>81</v>
      </c>
      <c r="C30" s="3" t="s">
        <v>82</v>
      </c>
      <c r="D30" s="117">
        <v>2025</v>
      </c>
      <c r="E30" s="118">
        <v>13368.3500366211</v>
      </c>
      <c r="F30" s="118">
        <v>24877.3399658203</v>
      </c>
      <c r="G30" s="118">
        <v>41765.220703125</v>
      </c>
      <c r="H30" s="118">
        <v>21523.3400878906</v>
      </c>
      <c r="I30" s="118">
        <v>69128.171875</v>
      </c>
      <c r="J30" s="118">
        <v>33813.83984375</v>
      </c>
      <c r="K30" s="22"/>
      <c r="L30" s="118">
        <v>121248.5</v>
      </c>
      <c r="M30" s="118">
        <v>60009.849609375</v>
      </c>
      <c r="N30" s="118">
        <v>155820.100708008</v>
      </c>
      <c r="O30" s="22"/>
      <c r="P30" s="118">
        <v>26407.4000244141</v>
      </c>
      <c r="Q30" s="118">
        <v>10044.8900909424</v>
      </c>
      <c r="R30" s="118">
        <v>17733.8203887939</v>
      </c>
      <c r="S30" s="118">
        <v>76470.4799804688</v>
      </c>
      <c r="T30" s="118">
        <v>7448.72003173828</v>
      </c>
      <c r="U30" s="118">
        <v>806.930017471313</v>
      </c>
      <c r="V30" s="118">
        <v>16817.8298950195</v>
      </c>
      <c r="W30" s="118">
        <v>45517.6105041504</v>
      </c>
      <c r="X30" s="3"/>
    </row>
    <row x14ac:dyDescent="0.25" r="31" customHeight="1" ht="17.25">
      <c r="A31" s="3" t="s">
        <v>56</v>
      </c>
      <c r="B31" s="3" t="s">
        <v>81</v>
      </c>
      <c r="C31" s="3" t="s">
        <v>82</v>
      </c>
      <c r="D31" s="22" t="s">
        <v>59</v>
      </c>
      <c r="E31" s="119">
        <v>-0.11</v>
      </c>
      <c r="F31" s="119">
        <v>0.02</v>
      </c>
      <c r="G31" s="119">
        <v>-0.58</v>
      </c>
      <c r="H31" s="119">
        <v>-0.47</v>
      </c>
      <c r="I31" s="119">
        <v>-0.13</v>
      </c>
      <c r="J31" s="119">
        <v>-0.09</v>
      </c>
      <c r="K31" s="22" t="s">
        <v>60</v>
      </c>
      <c r="L31" s="119">
        <v>-0.04</v>
      </c>
      <c r="M31" s="119">
        <v>-0.04</v>
      </c>
      <c r="N31" s="119">
        <v>-0.2</v>
      </c>
      <c r="O31" s="22" t="s">
        <v>60</v>
      </c>
      <c r="P31" s="119">
        <v>-0.02</v>
      </c>
      <c r="Q31" s="119">
        <v>0.29</v>
      </c>
      <c r="R31" s="119">
        <v>-0.14</v>
      </c>
      <c r="S31" s="119">
        <v>-0.22</v>
      </c>
      <c r="T31" s="119">
        <v>-0.14</v>
      </c>
      <c r="U31" s="119">
        <v>-0.31</v>
      </c>
      <c r="V31" s="119">
        <v>-0.16</v>
      </c>
      <c r="W31" s="119">
        <v>-0.2</v>
      </c>
      <c r="X31" s="3"/>
    </row>
    <row x14ac:dyDescent="0.25" r="32" customHeight="1" ht="17.25">
      <c r="A32" s="3" t="s">
        <v>56</v>
      </c>
      <c r="B32" s="3" t="s">
        <v>85</v>
      </c>
      <c r="C32" s="3" t="s">
        <v>86</v>
      </c>
      <c r="D32" s="117">
        <v>2024</v>
      </c>
      <c r="E32" s="118">
        <v>5050.62008666992</v>
      </c>
      <c r="F32" s="118">
        <v>10154.6698608398</v>
      </c>
      <c r="G32" s="118">
        <v>43139.2392578125</v>
      </c>
      <c r="H32" s="118">
        <v>26741.849609375</v>
      </c>
      <c r="I32" s="118">
        <v>37393.5</v>
      </c>
      <c r="J32" s="117">
        <v>28140</v>
      </c>
      <c r="K32" s="22"/>
      <c r="L32" s="118">
        <v>47324.25</v>
      </c>
      <c r="M32" s="118">
        <v>29871.240234375</v>
      </c>
      <c r="N32" s="118">
        <v>114235.29296875</v>
      </c>
      <c r="O32" s="22"/>
      <c r="P32" s="118">
        <v>13064.2800292969</v>
      </c>
      <c r="Q32" s="118">
        <v>2335.43008422852</v>
      </c>
      <c r="R32" s="118">
        <v>17786.9403076172</v>
      </c>
      <c r="S32" s="118">
        <v>58446.5</v>
      </c>
      <c r="T32" s="118">
        <v>5570.82998657227</v>
      </c>
      <c r="U32" s="118">
        <v>-143.340003967285</v>
      </c>
      <c r="V32" s="118">
        <v>11598.3797607422</v>
      </c>
      <c r="W32" s="118">
        <v>32224.8102874756</v>
      </c>
      <c r="X32" s="3"/>
    </row>
    <row x14ac:dyDescent="0.25" r="33" customHeight="1" ht="17.25">
      <c r="A33" s="3" t="s">
        <v>56</v>
      </c>
      <c r="B33" s="3" t="s">
        <v>85</v>
      </c>
      <c r="C33" s="3" t="s">
        <v>86</v>
      </c>
      <c r="D33" s="117">
        <v>2025</v>
      </c>
      <c r="E33" s="118">
        <v>4463.49995422363</v>
      </c>
      <c r="F33" s="118">
        <v>11560.2098999023</v>
      </c>
      <c r="G33" s="118">
        <v>25065.1103515625</v>
      </c>
      <c r="H33" s="118">
        <v>13933.33984375</v>
      </c>
      <c r="I33" s="118">
        <v>35214.5897216797</v>
      </c>
      <c r="J33" s="118">
        <v>23737.830078125</v>
      </c>
      <c r="K33" s="22"/>
      <c r="L33" s="118">
        <v>50259.75</v>
      </c>
      <c r="M33" s="118">
        <v>31474.1795654297</v>
      </c>
      <c r="N33" s="118">
        <v>110180.978027344</v>
      </c>
      <c r="O33" s="22"/>
      <c r="P33" s="118">
        <v>14876.3298950195</v>
      </c>
      <c r="Q33" s="118">
        <v>4974.70989990234</v>
      </c>
      <c r="R33" s="118">
        <v>16153.3798923492</v>
      </c>
      <c r="S33" s="117">
        <v>61070</v>
      </c>
      <c r="T33" s="118">
        <v>6273.64990234375</v>
      </c>
      <c r="U33" s="118">
        <v>625.939995765686</v>
      </c>
      <c r="V33" s="118">
        <v>11930.6901550293</v>
      </c>
      <c r="W33" s="118">
        <v>21796.1398925781</v>
      </c>
      <c r="X33" s="3"/>
    </row>
    <row x14ac:dyDescent="0.25" r="34" customHeight="1" ht="17.25">
      <c r="A34" s="3" t="s">
        <v>56</v>
      </c>
      <c r="B34" s="3" t="s">
        <v>85</v>
      </c>
      <c r="C34" s="3" t="s">
        <v>86</v>
      </c>
      <c r="D34" s="22" t="s">
        <v>59</v>
      </c>
      <c r="E34" s="119">
        <v>-0.12</v>
      </c>
      <c r="F34" s="119">
        <v>0.14</v>
      </c>
      <c r="G34" s="119">
        <v>-0.42</v>
      </c>
      <c r="H34" s="119">
        <v>-0.48</v>
      </c>
      <c r="I34" s="119">
        <v>-0.06</v>
      </c>
      <c r="J34" s="119">
        <v>-0.16</v>
      </c>
      <c r="K34" s="22" t="s">
        <v>60</v>
      </c>
      <c r="L34" s="119">
        <v>0.06</v>
      </c>
      <c r="M34" s="119">
        <v>0.05</v>
      </c>
      <c r="N34" s="119">
        <v>-0.04</v>
      </c>
      <c r="O34" s="22" t="s">
        <v>60</v>
      </c>
      <c r="P34" s="119">
        <v>0.14</v>
      </c>
      <c r="Q34" s="119">
        <v>1.13</v>
      </c>
      <c r="R34" s="119">
        <v>-0.09</v>
      </c>
      <c r="S34" s="119">
        <v>0.04</v>
      </c>
      <c r="T34" s="119">
        <v>0.13</v>
      </c>
      <c r="U34" s="119">
        <v>-5.37</v>
      </c>
      <c r="V34" s="119">
        <v>0.03</v>
      </c>
      <c r="W34" s="119">
        <v>-0.32</v>
      </c>
      <c r="X34" s="3"/>
    </row>
    <row x14ac:dyDescent="0.25" r="35" customHeight="1" ht="17.25">
      <c r="A35" s="3" t="s">
        <v>56</v>
      </c>
      <c r="B35" s="3" t="s">
        <v>87</v>
      </c>
      <c r="C35" s="3" t="s">
        <v>88</v>
      </c>
      <c r="D35" s="117">
        <v>2024</v>
      </c>
      <c r="E35" s="29"/>
      <c r="F35" s="29"/>
      <c r="G35" s="29"/>
      <c r="H35" s="29"/>
      <c r="I35" s="29"/>
      <c r="J35" s="29"/>
      <c r="K35" s="22"/>
      <c r="L35" s="29"/>
      <c r="M35" s="29"/>
      <c r="N35" s="29"/>
      <c r="O35" s="22"/>
      <c r="P35" s="29"/>
      <c r="Q35" s="29"/>
      <c r="R35" s="29"/>
      <c r="S35" s="29"/>
      <c r="T35" s="29"/>
      <c r="U35" s="29"/>
      <c r="V35" s="29"/>
      <c r="W35" s="29"/>
      <c r="X35" s="3"/>
    </row>
    <row x14ac:dyDescent="0.25" r="36" customHeight="1" ht="17.25">
      <c r="A36" s="3" t="s">
        <v>56</v>
      </c>
      <c r="B36" s="3" t="s">
        <v>87</v>
      </c>
      <c r="C36" s="3" t="s">
        <v>89</v>
      </c>
      <c r="D36" s="117">
        <v>2025</v>
      </c>
      <c r="E36" s="118">
        <v>1690.33001708984</v>
      </c>
      <c r="F36" s="118">
        <v>3403.79998779297</v>
      </c>
      <c r="G36" s="118">
        <v>23680.8902587891</v>
      </c>
      <c r="H36" s="117">
        <v>8635</v>
      </c>
      <c r="I36" s="118">
        <v>39461.58984375</v>
      </c>
      <c r="J36" s="118">
        <v>18089.5</v>
      </c>
      <c r="K36" s="22"/>
      <c r="L36" s="117">
        <v>71934</v>
      </c>
      <c r="M36" s="118">
        <v>34995.8698730469</v>
      </c>
      <c r="N36" s="118">
        <v>209304.0078125</v>
      </c>
      <c r="O36" s="22"/>
      <c r="P36" s="118">
        <v>15353.0200805664</v>
      </c>
      <c r="Q36" s="118">
        <v>3796.6999206543</v>
      </c>
      <c r="R36" s="118">
        <v>24808.8000488281</v>
      </c>
      <c r="S36" s="117">
        <v>89090</v>
      </c>
      <c r="T36" s="118">
        <v>3303.99001693726</v>
      </c>
      <c r="U36" s="118">
        <v>-75.419997215271</v>
      </c>
      <c r="V36" s="118">
        <v>20204.1604003906</v>
      </c>
      <c r="W36" s="118">
        <v>67766.5390625</v>
      </c>
      <c r="X36" s="3"/>
    </row>
    <row x14ac:dyDescent="0.25" r="37" customHeight="1" ht="17.25">
      <c r="A37" s="3" t="s">
        <v>56</v>
      </c>
      <c r="B37" s="3" t="s">
        <v>87</v>
      </c>
      <c r="C37" s="3" t="s">
        <v>89</v>
      </c>
      <c r="D37" s="22" t="s">
        <v>59</v>
      </c>
      <c r="E37" s="120" t="s">
        <v>60</v>
      </c>
      <c r="F37" s="120" t="s">
        <v>60</v>
      </c>
      <c r="G37" s="120" t="s">
        <v>60</v>
      </c>
      <c r="H37" s="120" t="s">
        <v>60</v>
      </c>
      <c r="I37" s="120" t="s">
        <v>60</v>
      </c>
      <c r="J37" s="120" t="s">
        <v>60</v>
      </c>
      <c r="K37" s="22" t="s">
        <v>60</v>
      </c>
      <c r="L37" s="120" t="s">
        <v>60</v>
      </c>
      <c r="M37" s="120" t="s">
        <v>60</v>
      </c>
      <c r="N37" s="120" t="s">
        <v>60</v>
      </c>
      <c r="O37" s="22" t="s">
        <v>60</v>
      </c>
      <c r="P37" s="120" t="s">
        <v>60</v>
      </c>
      <c r="Q37" s="120" t="s">
        <v>60</v>
      </c>
      <c r="R37" s="120" t="s">
        <v>60</v>
      </c>
      <c r="S37" s="120" t="s">
        <v>60</v>
      </c>
      <c r="T37" s="120" t="s">
        <v>60</v>
      </c>
      <c r="U37" s="120" t="s">
        <v>60</v>
      </c>
      <c r="V37" s="120" t="s">
        <v>60</v>
      </c>
      <c r="W37" s="120" t="s">
        <v>60</v>
      </c>
      <c r="X37" s="3"/>
    </row>
    <row x14ac:dyDescent="0.25" r="38" customHeight="1" ht="17.25">
      <c r="A38" s="3" t="s">
        <v>56</v>
      </c>
      <c r="B38" s="3" t="s">
        <v>90</v>
      </c>
      <c r="C38" s="3" t="s">
        <v>91</v>
      </c>
      <c r="D38" s="117">
        <v>2024</v>
      </c>
      <c r="E38" s="118">
        <v>9950.93017578125</v>
      </c>
      <c r="F38" s="118">
        <v>21835.9697265625</v>
      </c>
      <c r="G38" s="118">
        <v>51045.7098388672</v>
      </c>
      <c r="H38" s="118">
        <v>36798.669921875</v>
      </c>
      <c r="I38" s="117">
        <v>62650</v>
      </c>
      <c r="J38" s="117">
        <v>39546</v>
      </c>
      <c r="K38" s="22"/>
      <c r="L38" s="118">
        <v>73140.5</v>
      </c>
      <c r="M38" s="118">
        <v>47660.7503662109</v>
      </c>
      <c r="N38" s="118">
        <v>196964.960281372</v>
      </c>
      <c r="O38" s="22"/>
      <c r="P38" s="118">
        <v>19452.3200073242</v>
      </c>
      <c r="Q38" s="118">
        <v>9409.21000480652</v>
      </c>
      <c r="R38" s="118">
        <v>29854.3492584229</v>
      </c>
      <c r="S38" s="118">
        <v>98902.3583984375</v>
      </c>
      <c r="T38" s="117">
        <v>10443</v>
      </c>
      <c r="U38" s="118">
        <v>1938.2099609375</v>
      </c>
      <c r="V38" s="118">
        <v>32263.1394042969</v>
      </c>
      <c r="W38" s="118">
        <v>46769.7497558594</v>
      </c>
      <c r="X38" s="3"/>
    </row>
    <row x14ac:dyDescent="0.25" r="39" customHeight="1" ht="17.25">
      <c r="A39" s="3" t="s">
        <v>56</v>
      </c>
      <c r="B39" s="3" t="s">
        <v>90</v>
      </c>
      <c r="C39" s="3" t="s">
        <v>91</v>
      </c>
      <c r="D39" s="117">
        <v>2025</v>
      </c>
      <c r="E39" s="118">
        <v>7245.52001953125</v>
      </c>
      <c r="F39" s="118">
        <v>16449.1600341797</v>
      </c>
      <c r="G39" s="118">
        <v>14071.1102905273</v>
      </c>
      <c r="H39" s="117">
        <v>8030</v>
      </c>
      <c r="I39" s="118">
        <v>22432.5</v>
      </c>
      <c r="J39" s="117">
        <v>16521</v>
      </c>
      <c r="K39" s="22"/>
      <c r="L39" s="118">
        <v>48573.5</v>
      </c>
      <c r="M39" s="118">
        <v>30085.609375</v>
      </c>
      <c r="N39" s="118">
        <v>136266.326248169</v>
      </c>
      <c r="O39" s="22"/>
      <c r="P39" s="118">
        <v>11691.3600463867</v>
      </c>
      <c r="Q39" s="118">
        <v>3918.94010925293</v>
      </c>
      <c r="R39" s="118">
        <v>15550.3202514648</v>
      </c>
      <c r="S39" s="118">
        <v>57500.4200439453</v>
      </c>
      <c r="T39" s="118">
        <v>5501.71989440918</v>
      </c>
      <c r="U39" s="118">
        <v>203.619995117188</v>
      </c>
      <c r="V39" s="118">
        <v>21403.3103027344</v>
      </c>
      <c r="W39" s="118">
        <v>29694.1204223633</v>
      </c>
      <c r="X39" s="3"/>
    </row>
    <row x14ac:dyDescent="0.25" r="40" customHeight="1" ht="17.25">
      <c r="A40" s="3" t="s">
        <v>56</v>
      </c>
      <c r="B40" s="3" t="s">
        <v>90</v>
      </c>
      <c r="C40" s="3" t="s">
        <v>91</v>
      </c>
      <c r="D40" s="22" t="s">
        <v>59</v>
      </c>
      <c r="E40" s="119">
        <v>-0.27</v>
      </c>
      <c r="F40" s="119">
        <v>-0.25</v>
      </c>
      <c r="G40" s="119">
        <v>-0.72</v>
      </c>
      <c r="H40" s="119">
        <v>-0.78</v>
      </c>
      <c r="I40" s="119">
        <v>-0.64</v>
      </c>
      <c r="J40" s="119">
        <v>-0.58</v>
      </c>
      <c r="K40" s="22" t="s">
        <v>60</v>
      </c>
      <c r="L40" s="119">
        <v>-0.34</v>
      </c>
      <c r="M40" s="119">
        <v>-0.37</v>
      </c>
      <c r="N40" s="119">
        <v>-0.31</v>
      </c>
      <c r="O40" s="22" t="s">
        <v>60</v>
      </c>
      <c r="P40" s="119">
        <v>-0.4</v>
      </c>
      <c r="Q40" s="119">
        <v>-0.58</v>
      </c>
      <c r="R40" s="119">
        <v>-0.48</v>
      </c>
      <c r="S40" s="119">
        <v>-0.42</v>
      </c>
      <c r="T40" s="119">
        <v>-0.47</v>
      </c>
      <c r="U40" s="119">
        <v>-0.89</v>
      </c>
      <c r="V40" s="119">
        <v>-0.34</v>
      </c>
      <c r="W40" s="119">
        <v>-0.37</v>
      </c>
      <c r="X40" s="3"/>
    </row>
    <row x14ac:dyDescent="0.25" r="41" customHeight="1" ht="17.25">
      <c r="A41" s="3" t="s">
        <v>56</v>
      </c>
      <c r="B41" s="3" t="s">
        <v>92</v>
      </c>
      <c r="C41" s="3" t="s">
        <v>93</v>
      </c>
      <c r="D41" s="117">
        <v>2024</v>
      </c>
      <c r="E41" s="118">
        <v>2966.08001708984</v>
      </c>
      <c r="F41" s="118">
        <v>5355.5</v>
      </c>
      <c r="G41" s="118">
        <v>61577.1513671875</v>
      </c>
      <c r="H41" s="118">
        <v>23931.669921875</v>
      </c>
      <c r="I41" s="117">
        <v>61682</v>
      </c>
      <c r="J41" s="118">
        <v>38094.5</v>
      </c>
      <c r="K41" s="22"/>
      <c r="L41" s="118">
        <v>57878.75</v>
      </c>
      <c r="M41" s="118">
        <v>41362.9505615234</v>
      </c>
      <c r="N41" s="118">
        <v>202495.9375</v>
      </c>
      <c r="O41" s="22"/>
      <c r="P41" s="118">
        <v>14339.0198974609</v>
      </c>
      <c r="Q41" s="118">
        <v>3637.330078125</v>
      </c>
      <c r="R41" s="118">
        <v>31621.130859375</v>
      </c>
      <c r="S41" s="118">
        <v>95678.4296875</v>
      </c>
      <c r="T41" s="118">
        <v>4026.75001525879</v>
      </c>
      <c r="U41" s="118">
        <v>-15.0799999237061</v>
      </c>
      <c r="V41" s="118">
        <v>19253.8199462891</v>
      </c>
      <c r="W41" s="118">
        <v>75070.1911621094</v>
      </c>
      <c r="X41" s="3"/>
    </row>
    <row x14ac:dyDescent="0.25" r="42" customHeight="1" ht="17.25">
      <c r="A42" s="3" t="s">
        <v>56</v>
      </c>
      <c r="B42" s="3" t="s">
        <v>92</v>
      </c>
      <c r="C42" s="3" t="s">
        <v>93</v>
      </c>
      <c r="D42" s="117">
        <v>2025</v>
      </c>
      <c r="E42" s="118">
        <v>3603.95999526978</v>
      </c>
      <c r="F42" s="118">
        <v>6637.40987014771</v>
      </c>
      <c r="G42" s="118">
        <v>16192.240234375</v>
      </c>
      <c r="H42" s="117">
        <v>6930</v>
      </c>
      <c r="I42" s="118">
        <v>26425.419921875</v>
      </c>
      <c r="J42" s="118">
        <v>9695.83984375</v>
      </c>
      <c r="K42" s="22"/>
      <c r="L42" s="118">
        <v>30846.5</v>
      </c>
      <c r="M42" s="118">
        <v>15008.1299438477</v>
      </c>
      <c r="N42" s="118">
        <v>82935.9216918945</v>
      </c>
      <c r="O42" s="22"/>
      <c r="P42" s="118">
        <v>6929.01982116699</v>
      </c>
      <c r="Q42" s="118">
        <v>2852.66996574402</v>
      </c>
      <c r="R42" s="118">
        <v>8303.69983673096</v>
      </c>
      <c r="S42" s="117">
        <v>32380</v>
      </c>
      <c r="T42" s="118">
        <v>1617.58000183105</v>
      </c>
      <c r="U42" s="118">
        <v>286.579999923706</v>
      </c>
      <c r="V42" s="118">
        <v>6583.84008216858</v>
      </c>
      <c r="W42" s="118">
        <v>41761.7701034546</v>
      </c>
      <c r="X42" s="3"/>
    </row>
    <row x14ac:dyDescent="0.25" r="43" customHeight="1" ht="17.25">
      <c r="A43" s="3" t="s">
        <v>56</v>
      </c>
      <c r="B43" s="3" t="s">
        <v>92</v>
      </c>
      <c r="C43" s="3" t="s">
        <v>93</v>
      </c>
      <c r="D43" s="22" t="s">
        <v>59</v>
      </c>
      <c r="E43" s="119">
        <v>0.22</v>
      </c>
      <c r="F43" s="119">
        <v>0.24</v>
      </c>
      <c r="G43" s="119">
        <v>-0.74</v>
      </c>
      <c r="H43" s="119">
        <v>-0.71</v>
      </c>
      <c r="I43" s="119">
        <v>-0.57</v>
      </c>
      <c r="J43" s="119">
        <v>-0.75</v>
      </c>
      <c r="K43" s="22" t="s">
        <v>60</v>
      </c>
      <c r="L43" s="119">
        <v>-0.47</v>
      </c>
      <c r="M43" s="119">
        <v>-0.64</v>
      </c>
      <c r="N43" s="119">
        <v>-0.59</v>
      </c>
      <c r="O43" s="22" t="s">
        <v>60</v>
      </c>
      <c r="P43" s="119">
        <v>-0.52</v>
      </c>
      <c r="Q43" s="119">
        <v>-0.22</v>
      </c>
      <c r="R43" s="119">
        <v>-0.74</v>
      </c>
      <c r="S43" s="119">
        <v>-0.66</v>
      </c>
      <c r="T43" s="119">
        <v>-0.6</v>
      </c>
      <c r="U43" s="120" t="s">
        <v>130</v>
      </c>
      <c r="V43" s="119">
        <v>-0.66</v>
      </c>
      <c r="W43" s="119">
        <v>-0.44</v>
      </c>
      <c r="X43" s="3"/>
    </row>
    <row x14ac:dyDescent="0.25" r="44" customHeight="1" ht="17.25">
      <c r="A44" s="3" t="s">
        <v>56</v>
      </c>
      <c r="B44" s="3" t="s">
        <v>94</v>
      </c>
      <c r="C44" s="3" t="s">
        <v>95</v>
      </c>
      <c r="D44" s="117">
        <v>2024</v>
      </c>
      <c r="E44" s="118">
        <v>25.3799991607666</v>
      </c>
      <c r="F44" s="118">
        <v>56.7299995422363</v>
      </c>
      <c r="G44" s="118">
        <v>358.5</v>
      </c>
      <c r="H44" s="117">
        <v>330</v>
      </c>
      <c r="I44" s="117">
        <v>552</v>
      </c>
      <c r="J44" s="117">
        <v>252</v>
      </c>
      <c r="K44" s="22"/>
      <c r="L44" s="117">
        <v>741</v>
      </c>
      <c r="M44" s="118">
        <v>92.5</v>
      </c>
      <c r="N44" s="118">
        <v>1099.32995605469</v>
      </c>
      <c r="O44" s="22"/>
      <c r="P44" s="117">
        <v>52</v>
      </c>
      <c r="Q44" s="29"/>
      <c r="R44" s="118">
        <v>11.3800001144409</v>
      </c>
      <c r="S44" s="117">
        <v>550</v>
      </c>
      <c r="T44" s="29"/>
      <c r="U44" s="29"/>
      <c r="V44" s="29"/>
      <c r="W44" s="29"/>
      <c r="X44" s="3"/>
    </row>
    <row x14ac:dyDescent="0.25" r="45" customHeight="1" ht="17.25">
      <c r="A45" s="3" t="s">
        <v>56</v>
      </c>
      <c r="B45" s="3" t="s">
        <v>94</v>
      </c>
      <c r="C45" s="3" t="s">
        <v>95</v>
      </c>
      <c r="D45" s="117">
        <v>2025</v>
      </c>
      <c r="E45" s="118">
        <v>1192.85998725891</v>
      </c>
      <c r="F45" s="118">
        <v>2209.93004226685</v>
      </c>
      <c r="G45" s="118">
        <v>8434.7001953125</v>
      </c>
      <c r="H45" s="117">
        <v>2860</v>
      </c>
      <c r="I45" s="118">
        <v>10282.919921875</v>
      </c>
      <c r="J45" s="117">
        <v>3180</v>
      </c>
      <c r="K45" s="22"/>
      <c r="L45" s="118">
        <v>19527.25</v>
      </c>
      <c r="M45" s="118">
        <v>8348.10980224609</v>
      </c>
      <c r="N45" s="118">
        <v>26072.1402435303</v>
      </c>
      <c r="O45" s="22"/>
      <c r="P45" s="118">
        <v>2890.33996582031</v>
      </c>
      <c r="Q45" s="118">
        <v>696.66001701355</v>
      </c>
      <c r="R45" s="118">
        <v>705.239994049072</v>
      </c>
      <c r="S45" s="117">
        <v>10550</v>
      </c>
      <c r="T45" s="118">
        <v>457.23999786377</v>
      </c>
      <c r="U45" s="29"/>
      <c r="V45" s="118">
        <v>1463.09997558594</v>
      </c>
      <c r="W45" s="118">
        <v>1720.27000427246</v>
      </c>
      <c r="X45" s="3"/>
    </row>
    <row x14ac:dyDescent="0.25" r="46" customHeight="1" ht="17.25">
      <c r="A46" s="3" t="s">
        <v>56</v>
      </c>
      <c r="B46" s="3" t="s">
        <v>94</v>
      </c>
      <c r="C46" s="3" t="s">
        <v>95</v>
      </c>
      <c r="D46" s="22" t="s">
        <v>59</v>
      </c>
      <c r="E46" s="120" t="s">
        <v>131</v>
      </c>
      <c r="F46" s="120" t="s">
        <v>132</v>
      </c>
      <c r="G46" s="120" t="s">
        <v>133</v>
      </c>
      <c r="H46" s="119">
        <v>7.67</v>
      </c>
      <c r="I46" s="120" t="s">
        <v>134</v>
      </c>
      <c r="J46" s="120" t="s">
        <v>135</v>
      </c>
      <c r="K46" s="22" t="s">
        <v>60</v>
      </c>
      <c r="L46" s="120" t="s">
        <v>136</v>
      </c>
      <c r="M46" s="120" t="s">
        <v>137</v>
      </c>
      <c r="N46" s="120" t="s">
        <v>138</v>
      </c>
      <c r="O46" s="22" t="s">
        <v>60</v>
      </c>
      <c r="P46" s="120" t="s">
        <v>139</v>
      </c>
      <c r="Q46" s="120" t="s">
        <v>60</v>
      </c>
      <c r="R46" s="120" t="s">
        <v>140</v>
      </c>
      <c r="S46" s="120" t="s">
        <v>141</v>
      </c>
      <c r="T46" s="120" t="s">
        <v>60</v>
      </c>
      <c r="U46" s="120" t="s">
        <v>60</v>
      </c>
      <c r="V46" s="120" t="s">
        <v>60</v>
      </c>
      <c r="W46" s="120" t="s">
        <v>60</v>
      </c>
      <c r="X46" s="3"/>
    </row>
    <row x14ac:dyDescent="0.25" r="47" customHeight="1" ht="17.25">
      <c r="A47" s="3" t="s">
        <v>56</v>
      </c>
      <c r="B47" s="3" t="s">
        <v>96</v>
      </c>
      <c r="C47" s="3" t="s">
        <v>97</v>
      </c>
      <c r="D47" s="117">
        <v>2024</v>
      </c>
      <c r="E47" s="118">
        <v>11130.7601928711</v>
      </c>
      <c r="F47" s="118">
        <v>17071.6398925781</v>
      </c>
      <c r="G47" s="118">
        <v>72467.8198242188</v>
      </c>
      <c r="H47" s="118">
        <v>34533.33984375</v>
      </c>
      <c r="I47" s="118">
        <v>75546.5</v>
      </c>
      <c r="J47" s="117">
        <v>31435</v>
      </c>
      <c r="K47" s="22"/>
      <c r="L47" s="118">
        <v>106338.25</v>
      </c>
      <c r="M47" s="118">
        <v>56357.3295898438</v>
      </c>
      <c r="N47" s="118">
        <v>154442.388427734</v>
      </c>
      <c r="O47" s="22"/>
      <c r="P47" s="118">
        <v>19941.6496582031</v>
      </c>
      <c r="Q47" s="118">
        <v>6364.84986877441</v>
      </c>
      <c r="R47" s="118">
        <v>16312.1296386719</v>
      </c>
      <c r="S47" s="118">
        <v>75155.91015625</v>
      </c>
      <c r="T47" s="118">
        <v>6254.19006347656</v>
      </c>
      <c r="U47" s="118">
        <v>467.550003051758</v>
      </c>
      <c r="V47" s="118">
        <v>13144.4000244141</v>
      </c>
      <c r="W47" s="118">
        <v>37929.0899658203</v>
      </c>
      <c r="X47" s="3"/>
    </row>
    <row x14ac:dyDescent="0.25" r="48" customHeight="1" ht="17.25">
      <c r="A48" s="3" t="s">
        <v>56</v>
      </c>
      <c r="B48" s="3" t="s">
        <v>96</v>
      </c>
      <c r="C48" s="3" t="s">
        <v>97</v>
      </c>
      <c r="D48" s="117">
        <v>2025</v>
      </c>
      <c r="E48" s="118">
        <v>8373.15003204346</v>
      </c>
      <c r="F48" s="118">
        <v>13373.0298233032</v>
      </c>
      <c r="G48" s="118">
        <v>27086.66015625</v>
      </c>
      <c r="H48" s="118">
        <v>9185.02001953125</v>
      </c>
      <c r="I48" s="118">
        <v>49358.421875</v>
      </c>
      <c r="J48" s="118">
        <v>15841.6700439453</v>
      </c>
      <c r="K48" s="22"/>
      <c r="L48" s="117">
        <v>114437</v>
      </c>
      <c r="M48" s="118">
        <v>48277.7082519531</v>
      </c>
      <c r="N48" s="118">
        <v>149533.430679321</v>
      </c>
      <c r="O48" s="22"/>
      <c r="P48" s="118">
        <v>21064.3999633789</v>
      </c>
      <c r="Q48" s="118">
        <v>7283.82992553711</v>
      </c>
      <c r="R48" s="118">
        <v>14518.7798633575</v>
      </c>
      <c r="S48" s="118">
        <v>74408.5</v>
      </c>
      <c r="T48" s="118">
        <v>5270.64999389648</v>
      </c>
      <c r="U48" s="118">
        <v>701.369995117188</v>
      </c>
      <c r="V48" s="118">
        <v>13152.5196533203</v>
      </c>
      <c r="W48" s="118">
        <v>42340.8504638672</v>
      </c>
      <c r="X48" s="3"/>
    </row>
    <row x14ac:dyDescent="0.25" r="49" customHeight="1" ht="17.25">
      <c r="A49" s="3" t="s">
        <v>56</v>
      </c>
      <c r="B49" s="3" t="s">
        <v>96</v>
      </c>
      <c r="C49" s="3" t="s">
        <v>97</v>
      </c>
      <c r="D49" s="22" t="s">
        <v>59</v>
      </c>
      <c r="E49" s="119">
        <v>-0.25</v>
      </c>
      <c r="F49" s="119">
        <v>-0.22</v>
      </c>
      <c r="G49" s="119">
        <v>-0.63</v>
      </c>
      <c r="H49" s="119">
        <v>-0.73</v>
      </c>
      <c r="I49" s="119">
        <v>-0.35</v>
      </c>
      <c r="J49" s="119">
        <v>-0.5</v>
      </c>
      <c r="K49" s="22" t="s">
        <v>60</v>
      </c>
      <c r="L49" s="119">
        <v>0.08</v>
      </c>
      <c r="M49" s="119">
        <v>-0.14</v>
      </c>
      <c r="N49" s="119">
        <v>-0.03</v>
      </c>
      <c r="O49" s="22" t="s">
        <v>60</v>
      </c>
      <c r="P49" s="119">
        <v>0.06</v>
      </c>
      <c r="Q49" s="119">
        <v>0.14</v>
      </c>
      <c r="R49" s="119">
        <v>-0.11</v>
      </c>
      <c r="S49" s="119">
        <v>-0.01</v>
      </c>
      <c r="T49" s="119">
        <v>-0.16</v>
      </c>
      <c r="U49" s="119">
        <v>0.5</v>
      </c>
      <c r="V49" s="119">
        <v>0</v>
      </c>
      <c r="W49" s="119">
        <v>0.12</v>
      </c>
      <c r="X49" s="3"/>
    </row>
    <row x14ac:dyDescent="0.25" r="50" customHeight="1" ht="17.25">
      <c r="A50" s="3" t="s">
        <v>56</v>
      </c>
      <c r="B50" s="3" t="s">
        <v>98</v>
      </c>
      <c r="C50" s="3" t="s">
        <v>99</v>
      </c>
      <c r="D50" s="117">
        <v>2024</v>
      </c>
      <c r="E50" s="118">
        <v>607.990003585815</v>
      </c>
      <c r="F50" s="118">
        <v>2042.28002929688</v>
      </c>
      <c r="G50" s="118">
        <v>4182.5</v>
      </c>
      <c r="H50" s="117">
        <v>1533</v>
      </c>
      <c r="I50" s="117">
        <v>3606</v>
      </c>
      <c r="J50" s="117">
        <v>504</v>
      </c>
      <c r="K50" s="22"/>
      <c r="L50" s="118">
        <v>5068.25</v>
      </c>
      <c r="M50" s="118">
        <v>4432.2900390625</v>
      </c>
      <c r="N50" s="118">
        <v>5043.30004882813</v>
      </c>
      <c r="O50" s="22"/>
      <c r="P50" s="117">
        <v>1300</v>
      </c>
      <c r="Q50" s="118">
        <v>337.339996337891</v>
      </c>
      <c r="R50" s="118">
        <v>841.75</v>
      </c>
      <c r="S50" s="117">
        <v>3880</v>
      </c>
      <c r="T50" s="117">
        <v>236</v>
      </c>
      <c r="U50" s="118">
        <v>-22.6299991607666</v>
      </c>
      <c r="V50" s="118">
        <v>588.259994506836</v>
      </c>
      <c r="W50" s="118">
        <v>5679.29000854492</v>
      </c>
      <c r="X50" s="3"/>
    </row>
    <row x14ac:dyDescent="0.25" r="51" customHeight="1" ht="17.25">
      <c r="A51" s="3" t="s">
        <v>56</v>
      </c>
      <c r="B51" s="3" t="s">
        <v>98</v>
      </c>
      <c r="C51" s="3" t="s">
        <v>99</v>
      </c>
      <c r="D51" s="117">
        <v>2025</v>
      </c>
      <c r="E51" s="118">
        <v>1446.6600189209</v>
      </c>
      <c r="F51" s="118">
        <v>3630.7200012207</v>
      </c>
      <c r="G51" s="117">
        <v>2868</v>
      </c>
      <c r="H51" s="117">
        <v>440</v>
      </c>
      <c r="I51" s="117">
        <v>4018</v>
      </c>
      <c r="J51" s="118">
        <v>1570.5</v>
      </c>
      <c r="K51" s="22"/>
      <c r="L51" s="118">
        <v>14677.5</v>
      </c>
      <c r="M51" s="118">
        <v>7677.5</v>
      </c>
      <c r="N51" s="118">
        <v>16863.98046875</v>
      </c>
      <c r="O51" s="22"/>
      <c r="P51" s="118">
        <v>2569.67004394531</v>
      </c>
      <c r="Q51" s="118">
        <v>1547.34002685547</v>
      </c>
      <c r="R51" s="118">
        <v>1683.49000000022</v>
      </c>
      <c r="S51" s="117">
        <v>8740</v>
      </c>
      <c r="T51" s="118">
        <v>762.080001831055</v>
      </c>
      <c r="U51" s="117">
        <v>362</v>
      </c>
      <c r="V51" s="118">
        <v>2805.51993179321</v>
      </c>
      <c r="W51" s="118">
        <v>7394.21992492676</v>
      </c>
      <c r="X51" s="3"/>
    </row>
    <row x14ac:dyDescent="0.25" r="52" customHeight="1" ht="17.25">
      <c r="A52" s="3" t="s">
        <v>56</v>
      </c>
      <c r="B52" s="3" t="s">
        <v>98</v>
      </c>
      <c r="C52" s="3" t="s">
        <v>99</v>
      </c>
      <c r="D52" s="22" t="s">
        <v>59</v>
      </c>
      <c r="E52" s="119">
        <v>1.38</v>
      </c>
      <c r="F52" s="119">
        <v>0.78</v>
      </c>
      <c r="G52" s="119">
        <v>-0.31</v>
      </c>
      <c r="H52" s="119">
        <v>-0.71</v>
      </c>
      <c r="I52" s="119">
        <v>0.11</v>
      </c>
      <c r="J52" s="119">
        <v>2.12</v>
      </c>
      <c r="K52" s="22" t="s">
        <v>60</v>
      </c>
      <c r="L52" s="119">
        <v>1.9</v>
      </c>
      <c r="M52" s="119">
        <v>0.73</v>
      </c>
      <c r="N52" s="119">
        <v>2.34</v>
      </c>
      <c r="O52" s="22" t="s">
        <v>60</v>
      </c>
      <c r="P52" s="119">
        <v>0.98</v>
      </c>
      <c r="Q52" s="119">
        <v>3.59</v>
      </c>
      <c r="R52" s="119">
        <v>1</v>
      </c>
      <c r="S52" s="119">
        <v>1.25</v>
      </c>
      <c r="T52" s="119">
        <v>2.23</v>
      </c>
      <c r="U52" s="120" t="s">
        <v>142</v>
      </c>
      <c r="V52" s="119">
        <v>3.77</v>
      </c>
      <c r="W52" s="119">
        <v>0.3</v>
      </c>
      <c r="X52" s="3"/>
    </row>
    <row x14ac:dyDescent="0.25" r="53" customHeight="1" ht="17.25">
      <c r="A53" s="3" t="s">
        <v>56</v>
      </c>
      <c r="B53" s="3" t="s">
        <v>100</v>
      </c>
      <c r="C53" s="3" t="s">
        <v>101</v>
      </c>
      <c r="D53" s="117">
        <v>2024</v>
      </c>
      <c r="E53" s="118">
        <v>18741.0101318359</v>
      </c>
      <c r="F53" s="118">
        <v>45424.8198242188</v>
      </c>
      <c r="G53" s="118">
        <v>91517.48046875</v>
      </c>
      <c r="H53" s="118">
        <v>35921.3299560547</v>
      </c>
      <c r="I53" s="118">
        <v>88424.5</v>
      </c>
      <c r="J53" s="117">
        <v>20008</v>
      </c>
      <c r="K53" s="22"/>
      <c r="L53" s="118">
        <v>155372.5</v>
      </c>
      <c r="M53" s="118">
        <v>105149.819335938</v>
      </c>
      <c r="N53" s="118">
        <v>191345.088317871</v>
      </c>
      <c r="O53" s="22"/>
      <c r="P53" s="118">
        <v>33886.5808105469</v>
      </c>
      <c r="Q53" s="118">
        <v>17580.1600666046</v>
      </c>
      <c r="R53" s="118">
        <v>23231.4993591309</v>
      </c>
      <c r="S53" s="118">
        <v>126409.839370728</v>
      </c>
      <c r="T53" s="118">
        <v>12114.8099975586</v>
      </c>
      <c r="U53" s="118">
        <v>2782.8900642395</v>
      </c>
      <c r="V53" s="118">
        <v>38146.1997070313</v>
      </c>
      <c r="W53" s="118">
        <v>129962.248535156</v>
      </c>
      <c r="X53" s="3"/>
    </row>
    <row x14ac:dyDescent="0.25" r="54" customHeight="1" ht="17.25">
      <c r="A54" s="3" t="s">
        <v>56</v>
      </c>
      <c r="B54" s="3" t="s">
        <v>100</v>
      </c>
      <c r="C54" s="3" t="s">
        <v>101</v>
      </c>
      <c r="D54" s="117">
        <v>2025</v>
      </c>
      <c r="E54" s="118">
        <v>17366.3403320313</v>
      </c>
      <c r="F54" s="118">
        <v>41401.2198486328</v>
      </c>
      <c r="G54" s="118">
        <v>53257.1195068359</v>
      </c>
      <c r="H54" s="118">
        <v>14116.6800537109</v>
      </c>
      <c r="I54" s="118">
        <v>82293.2595214844</v>
      </c>
      <c r="J54" s="118">
        <v>19683.5</v>
      </c>
      <c r="K54" s="22"/>
      <c r="L54" s="118">
        <v>162882.25</v>
      </c>
      <c r="M54" s="118">
        <v>98165.5810546875</v>
      </c>
      <c r="N54" s="118">
        <v>164300.504074097</v>
      </c>
      <c r="O54" s="22"/>
      <c r="P54" s="118">
        <v>35494.4393310547</v>
      </c>
      <c r="Q54" s="118">
        <v>13434.0394420624</v>
      </c>
      <c r="R54" s="118">
        <v>12948.8899402618</v>
      </c>
      <c r="S54" s="118">
        <v>87625.8299560547</v>
      </c>
      <c r="T54" s="118">
        <v>10113.5198669434</v>
      </c>
      <c r="U54" s="118">
        <v>1576.20999908447</v>
      </c>
      <c r="V54" s="118">
        <v>35453.8989257813</v>
      </c>
      <c r="W54" s="118">
        <v>101309.910400391</v>
      </c>
      <c r="X54" s="3"/>
    </row>
    <row x14ac:dyDescent="0.25" r="55" customHeight="1" ht="17.25">
      <c r="A55" s="3" t="s">
        <v>56</v>
      </c>
      <c r="B55" s="3" t="s">
        <v>100</v>
      </c>
      <c r="C55" s="3" t="s">
        <v>101</v>
      </c>
      <c r="D55" s="22" t="s">
        <v>59</v>
      </c>
      <c r="E55" s="119">
        <v>-0.07</v>
      </c>
      <c r="F55" s="119">
        <v>-0.09</v>
      </c>
      <c r="G55" s="119">
        <v>-0.42</v>
      </c>
      <c r="H55" s="119">
        <v>-0.61</v>
      </c>
      <c r="I55" s="119">
        <v>-0.07</v>
      </c>
      <c r="J55" s="119">
        <v>-0.02</v>
      </c>
      <c r="K55" s="22" t="s">
        <v>60</v>
      </c>
      <c r="L55" s="119">
        <v>0.05</v>
      </c>
      <c r="M55" s="119">
        <v>-0.07</v>
      </c>
      <c r="N55" s="119">
        <v>-0.14</v>
      </c>
      <c r="O55" s="22" t="s">
        <v>60</v>
      </c>
      <c r="P55" s="119">
        <v>0.05</v>
      </c>
      <c r="Q55" s="119">
        <v>-0.24</v>
      </c>
      <c r="R55" s="119">
        <v>-0.44</v>
      </c>
      <c r="S55" s="119">
        <v>-0.31</v>
      </c>
      <c r="T55" s="119">
        <v>-0.17</v>
      </c>
      <c r="U55" s="119">
        <v>-0.43</v>
      </c>
      <c r="V55" s="119">
        <v>-0.07</v>
      </c>
      <c r="W55" s="119">
        <v>-0.22</v>
      </c>
      <c r="X55" s="3"/>
    </row>
    <row x14ac:dyDescent="0.25" r="56" customHeight="1" ht="17.25">
      <c r="A56" s="3" t="s">
        <v>56</v>
      </c>
      <c r="B56" s="3" t="s">
        <v>102</v>
      </c>
      <c r="C56" s="3" t="s">
        <v>103</v>
      </c>
      <c r="D56" s="117">
        <v>2024</v>
      </c>
      <c r="E56" s="118">
        <v>15511.2297916412</v>
      </c>
      <c r="F56" s="118">
        <v>30779.599811554</v>
      </c>
      <c r="G56" s="118">
        <v>114315.399124146</v>
      </c>
      <c r="H56" s="118">
        <v>40227.009765625</v>
      </c>
      <c r="I56" s="117">
        <v>117204</v>
      </c>
      <c r="J56" s="118">
        <v>38560.5</v>
      </c>
      <c r="K56" s="22"/>
      <c r="L56" s="117">
        <v>135774</v>
      </c>
      <c r="M56" s="118">
        <v>93688.6118164063</v>
      </c>
      <c r="N56" s="118">
        <v>203541.260620117</v>
      </c>
      <c r="O56" s="22"/>
      <c r="P56" s="118">
        <v>30732.0808105469</v>
      </c>
      <c r="Q56" s="118">
        <v>15856.8398132324</v>
      </c>
      <c r="R56" s="118">
        <v>21069.3101904299</v>
      </c>
      <c r="S56" s="118">
        <v>135544.813720703</v>
      </c>
      <c r="T56" s="118">
        <v>12979.8901824951</v>
      </c>
      <c r="U56" s="118">
        <v>2956.20996952057</v>
      </c>
      <c r="V56" s="118">
        <v>35279.2003173828</v>
      </c>
      <c r="W56" s="118">
        <v>57225.0505828857</v>
      </c>
      <c r="X56" s="3"/>
    </row>
    <row x14ac:dyDescent="0.25" r="57" customHeight="1" ht="17.25">
      <c r="A57" s="3" t="s">
        <v>56</v>
      </c>
      <c r="B57" s="3" t="s">
        <v>102</v>
      </c>
      <c r="C57" s="3" t="s">
        <v>103</v>
      </c>
      <c r="D57" s="117">
        <v>2025</v>
      </c>
      <c r="E57" s="118">
        <v>15008.0099182129</v>
      </c>
      <c r="F57" s="118">
        <v>35309.8703613281</v>
      </c>
      <c r="G57" s="118">
        <v>67567.25</v>
      </c>
      <c r="H57" s="118">
        <v>18150.009765625</v>
      </c>
      <c r="I57" s="118">
        <v>105129.189453125</v>
      </c>
      <c r="J57" s="117">
        <v>28773</v>
      </c>
      <c r="K57" s="22"/>
      <c r="L57" s="118">
        <v>135042.5</v>
      </c>
      <c r="M57" s="118">
        <v>101411.890869141</v>
      </c>
      <c r="N57" s="118">
        <v>201926.433105469</v>
      </c>
      <c r="O57" s="22"/>
      <c r="P57" s="118">
        <v>32123.049621582</v>
      </c>
      <c r="Q57" s="118">
        <v>14781.5499267578</v>
      </c>
      <c r="R57" s="118">
        <v>21967.2603759766</v>
      </c>
      <c r="S57" s="118">
        <v>125499.75</v>
      </c>
      <c r="T57" s="118">
        <v>12394.9001464844</v>
      </c>
      <c r="U57" s="118">
        <v>2353.01997375488</v>
      </c>
      <c r="V57" s="118">
        <v>35943.330078125</v>
      </c>
      <c r="W57" s="118">
        <v>49459.3103637695</v>
      </c>
      <c r="X57" s="3"/>
    </row>
    <row x14ac:dyDescent="0.25" r="58" customHeight="1" ht="17.25">
      <c r="A58" s="3" t="s">
        <v>56</v>
      </c>
      <c r="B58" s="3" t="s">
        <v>102</v>
      </c>
      <c r="C58" s="3" t="s">
        <v>103</v>
      </c>
      <c r="D58" s="22" t="s">
        <v>59</v>
      </c>
      <c r="E58" s="119">
        <v>-0.03</v>
      </c>
      <c r="F58" s="119">
        <v>0.15</v>
      </c>
      <c r="G58" s="119">
        <v>-0.41</v>
      </c>
      <c r="H58" s="119">
        <v>-0.55</v>
      </c>
      <c r="I58" s="119">
        <v>-0.1</v>
      </c>
      <c r="J58" s="119">
        <v>-0.25</v>
      </c>
      <c r="K58" s="22" t="s">
        <v>60</v>
      </c>
      <c r="L58" s="119">
        <v>-0.01</v>
      </c>
      <c r="M58" s="119">
        <v>0.08</v>
      </c>
      <c r="N58" s="119">
        <v>-0.01</v>
      </c>
      <c r="O58" s="22" t="s">
        <v>60</v>
      </c>
      <c r="P58" s="119">
        <v>0.05</v>
      </c>
      <c r="Q58" s="119">
        <v>-0.07</v>
      </c>
      <c r="R58" s="119">
        <v>0.04</v>
      </c>
      <c r="S58" s="119">
        <v>-0.07</v>
      </c>
      <c r="T58" s="119">
        <v>-0.05</v>
      </c>
      <c r="U58" s="119">
        <v>-0.2</v>
      </c>
      <c r="V58" s="119">
        <v>0.02</v>
      </c>
      <c r="W58" s="119">
        <v>-0.14</v>
      </c>
      <c r="X58" s="3"/>
    </row>
    <row x14ac:dyDescent="0.25" r="59" customHeight="1" ht="17.25">
      <c r="A59" s="3" t="s">
        <v>56</v>
      </c>
      <c r="B59" s="3" t="s">
        <v>105</v>
      </c>
      <c r="C59" s="3" t="s">
        <v>106</v>
      </c>
      <c r="D59" s="117">
        <v>2024</v>
      </c>
      <c r="E59" s="118">
        <v>101.519996643066</v>
      </c>
      <c r="F59" s="118">
        <v>56.7299995422363</v>
      </c>
      <c r="G59" s="29"/>
      <c r="H59" s="29"/>
      <c r="I59" s="29"/>
      <c r="J59" s="29"/>
      <c r="K59" s="22"/>
      <c r="L59" s="29"/>
      <c r="M59" s="29"/>
      <c r="N59" s="29"/>
      <c r="O59" s="22"/>
      <c r="P59" s="29"/>
      <c r="Q59" s="118">
        <v>-36.6699981689453</v>
      </c>
      <c r="R59" s="29"/>
      <c r="S59" s="118">
        <v>-7.98999977111816</v>
      </c>
      <c r="T59" s="29"/>
      <c r="U59" s="29"/>
      <c r="V59" s="29"/>
      <c r="W59" s="29"/>
      <c r="X59" s="3"/>
    </row>
    <row x14ac:dyDescent="0.25" r="60" customHeight="1" ht="17.25">
      <c r="A60" s="3" t="s">
        <v>56</v>
      </c>
      <c r="B60" s="3" t="s">
        <v>105</v>
      </c>
      <c r="C60" s="3" t="s">
        <v>106</v>
      </c>
      <c r="D60" s="117">
        <v>2025</v>
      </c>
      <c r="E60" s="118">
        <v>101.519998550415</v>
      </c>
      <c r="F60" s="118">
        <v>113.459999084473</v>
      </c>
      <c r="G60" s="118">
        <v>119.5</v>
      </c>
      <c r="H60" s="117">
        <v>110</v>
      </c>
      <c r="I60" s="117">
        <v>290</v>
      </c>
      <c r="J60" s="118">
        <v>132.5</v>
      </c>
      <c r="K60" s="22"/>
      <c r="L60" s="117">
        <v>285</v>
      </c>
      <c r="M60" s="118">
        <v>277.510009765625</v>
      </c>
      <c r="N60" s="118">
        <v>272.010009765625</v>
      </c>
      <c r="O60" s="22"/>
      <c r="P60" s="118">
        <v>-30.3299999237061</v>
      </c>
      <c r="Q60" s="117">
        <v>-22</v>
      </c>
      <c r="R60" s="118">
        <v>-102.379997253418</v>
      </c>
      <c r="S60" s="117">
        <v>110</v>
      </c>
      <c r="T60" s="29"/>
      <c r="U60" s="121"/>
      <c r="V60" s="118">
        <v>105.569999694824</v>
      </c>
      <c r="W60" s="118">
        <v>454.770004272461</v>
      </c>
      <c r="X60" s="3"/>
    </row>
    <row x14ac:dyDescent="0.25" r="61" customHeight="1" ht="17.25">
      <c r="A61" s="3" t="s">
        <v>56</v>
      </c>
      <c r="B61" s="3" t="s">
        <v>105</v>
      </c>
      <c r="C61" s="3" t="s">
        <v>106</v>
      </c>
      <c r="D61" s="22" t="s">
        <v>59</v>
      </c>
      <c r="E61" s="119">
        <v>0</v>
      </c>
      <c r="F61" s="119">
        <v>1</v>
      </c>
      <c r="G61" s="120" t="s">
        <v>60</v>
      </c>
      <c r="H61" s="120" t="s">
        <v>60</v>
      </c>
      <c r="I61" s="120" t="s">
        <v>60</v>
      </c>
      <c r="J61" s="120" t="s">
        <v>60</v>
      </c>
      <c r="K61" s="22" t="s">
        <v>60</v>
      </c>
      <c r="L61" s="120" t="s">
        <v>60</v>
      </c>
      <c r="M61" s="120" t="s">
        <v>60</v>
      </c>
      <c r="N61" s="120" t="s">
        <v>60</v>
      </c>
      <c r="O61" s="22" t="s">
        <v>60</v>
      </c>
      <c r="P61" s="120" t="s">
        <v>60</v>
      </c>
      <c r="Q61" s="119">
        <v>-0.4</v>
      </c>
      <c r="R61" s="120" t="s">
        <v>60</v>
      </c>
      <c r="S61" s="120" t="s">
        <v>143</v>
      </c>
      <c r="T61" s="120" t="s">
        <v>60</v>
      </c>
      <c r="U61" s="120" t="s">
        <v>60</v>
      </c>
      <c r="V61" s="120" t="s">
        <v>60</v>
      </c>
      <c r="W61" s="120" t="s">
        <v>60</v>
      </c>
      <c r="X61" s="3"/>
    </row>
    <row x14ac:dyDescent="0.25" r="62" customHeight="1" ht="17.25">
      <c r="A62" s="3" t="s">
        <v>56</v>
      </c>
      <c r="B62" s="3" t="s">
        <v>107</v>
      </c>
      <c r="C62" s="3" t="s">
        <v>108</v>
      </c>
      <c r="D62" s="117">
        <v>2024</v>
      </c>
      <c r="E62" s="118">
        <v>13329.6099853516</v>
      </c>
      <c r="F62" s="118">
        <v>34925.3591308594</v>
      </c>
      <c r="G62" s="118">
        <v>57829.2392578125</v>
      </c>
      <c r="H62" s="118">
        <v>42965.01953125</v>
      </c>
      <c r="I62" s="117">
        <v>65553</v>
      </c>
      <c r="J62" s="117">
        <v>50126</v>
      </c>
      <c r="K62" s="22"/>
      <c r="L62" s="117">
        <v>112974</v>
      </c>
      <c r="M62" s="118">
        <v>93633.8715820313</v>
      </c>
      <c r="N62" s="118">
        <v>254681.27734375</v>
      </c>
      <c r="O62" s="22"/>
      <c r="P62" s="118">
        <v>24184.1201171875</v>
      </c>
      <c r="Q62" s="118">
        <v>12326.7401733398</v>
      </c>
      <c r="R62" s="118">
        <v>32801.1694335938</v>
      </c>
      <c r="S62" s="118">
        <v>106068.4609375</v>
      </c>
      <c r="T62" s="118">
        <v>13299.7296142578</v>
      </c>
      <c r="U62" s="118">
        <v>1093.53999328613</v>
      </c>
      <c r="V62" s="118">
        <v>31003.4305419922</v>
      </c>
      <c r="W62" s="118">
        <v>27680.2696704865</v>
      </c>
      <c r="X62" s="3"/>
    </row>
    <row x14ac:dyDescent="0.25" r="63" customHeight="1" ht="17.25">
      <c r="A63" s="3" t="s">
        <v>56</v>
      </c>
      <c r="B63" s="3" t="s">
        <v>107</v>
      </c>
      <c r="C63" s="3" t="s">
        <v>108</v>
      </c>
      <c r="D63" s="117">
        <v>2025</v>
      </c>
      <c r="E63" s="118">
        <v>10115.469909668</v>
      </c>
      <c r="F63" s="118">
        <v>26186.4000244141</v>
      </c>
      <c r="G63" s="118">
        <v>37602.6209716797</v>
      </c>
      <c r="H63" s="118">
        <v>24860.009765625</v>
      </c>
      <c r="I63" s="118">
        <v>52748.580078125</v>
      </c>
      <c r="J63" s="118">
        <v>38993.169921875</v>
      </c>
      <c r="K63" s="22"/>
      <c r="L63" s="118">
        <v>111981.25</v>
      </c>
      <c r="M63" s="118">
        <v>93548.4609375</v>
      </c>
      <c r="N63" s="118">
        <v>224819.044921875</v>
      </c>
      <c r="O63" s="22"/>
      <c r="P63" s="118">
        <v>21749.0494384766</v>
      </c>
      <c r="Q63" s="118">
        <v>10728.0000915527</v>
      </c>
      <c r="R63" s="118">
        <v>28960.8508911133</v>
      </c>
      <c r="S63" s="118">
        <v>92880.4200000763</v>
      </c>
      <c r="T63" s="118">
        <v>10064.3797912598</v>
      </c>
      <c r="U63" s="118">
        <v>716.460021972656</v>
      </c>
      <c r="V63" s="118">
        <v>26041.3393554688</v>
      </c>
      <c r="W63" s="118">
        <v>21006.6600646973</v>
      </c>
      <c r="X63" s="3"/>
    </row>
    <row x14ac:dyDescent="0.25" r="64" customHeight="1" ht="17.25">
      <c r="A64" s="3" t="s">
        <v>56</v>
      </c>
      <c r="B64" s="3" t="s">
        <v>107</v>
      </c>
      <c r="C64" s="3" t="s">
        <v>108</v>
      </c>
      <c r="D64" s="22" t="s">
        <v>59</v>
      </c>
      <c r="E64" s="119">
        <v>-0.24</v>
      </c>
      <c r="F64" s="119">
        <v>-0.25</v>
      </c>
      <c r="G64" s="119">
        <v>-0.35</v>
      </c>
      <c r="H64" s="119">
        <v>-0.42</v>
      </c>
      <c r="I64" s="119">
        <v>-0.2</v>
      </c>
      <c r="J64" s="119">
        <v>-0.22</v>
      </c>
      <c r="K64" s="22" t="s">
        <v>60</v>
      </c>
      <c r="L64" s="119">
        <v>-0.01</v>
      </c>
      <c r="M64" s="119">
        <v>0</v>
      </c>
      <c r="N64" s="119">
        <v>-0.12</v>
      </c>
      <c r="O64" s="22" t="s">
        <v>60</v>
      </c>
      <c r="P64" s="119">
        <v>-0.1</v>
      </c>
      <c r="Q64" s="119">
        <v>-0.13</v>
      </c>
      <c r="R64" s="119">
        <v>-0.12</v>
      </c>
      <c r="S64" s="119">
        <v>-0.12</v>
      </c>
      <c r="T64" s="119">
        <v>-0.24</v>
      </c>
      <c r="U64" s="119">
        <v>-0.34</v>
      </c>
      <c r="V64" s="119">
        <v>-0.16</v>
      </c>
      <c r="W64" s="119">
        <v>-0.24</v>
      </c>
      <c r="X64" s="3"/>
    </row>
    <row x14ac:dyDescent="0.25" r="65" customHeight="1" ht="17.25">
      <c r="A65" s="3" t="s">
        <v>56</v>
      </c>
      <c r="B65" s="3" t="s">
        <v>109</v>
      </c>
      <c r="C65" s="3" t="s">
        <v>110</v>
      </c>
      <c r="D65" s="117">
        <v>2024</v>
      </c>
      <c r="E65" s="118">
        <v>2157.29998779297</v>
      </c>
      <c r="F65" s="118">
        <v>9020.06994628906</v>
      </c>
      <c r="G65" s="118">
        <v>53438.650390625</v>
      </c>
      <c r="H65" s="118">
        <v>38325.0400390625</v>
      </c>
      <c r="I65" s="118">
        <v>58700.5</v>
      </c>
      <c r="J65" s="118">
        <v>57153.5</v>
      </c>
      <c r="K65" s="22"/>
      <c r="L65" s="118">
        <v>64395.75</v>
      </c>
      <c r="M65" s="118">
        <v>61158.708984375</v>
      </c>
      <c r="N65" s="118">
        <v>152976.765625</v>
      </c>
      <c r="O65" s="22"/>
      <c r="P65" s="118">
        <v>17472.0496826172</v>
      </c>
      <c r="Q65" s="118">
        <v>9885.10009765625</v>
      </c>
      <c r="R65" s="118">
        <v>27791.8502197266</v>
      </c>
      <c r="S65" s="118">
        <v>86586.44140625</v>
      </c>
      <c r="T65" s="118">
        <v>5786.91000366211</v>
      </c>
      <c r="U65" s="118">
        <v>3159.82995605469</v>
      </c>
      <c r="V65" s="118">
        <v>27021.4102783203</v>
      </c>
      <c r="W65" s="118">
        <v>55642.3898925781</v>
      </c>
      <c r="X65" s="3"/>
    </row>
    <row x14ac:dyDescent="0.25" r="66" customHeight="1" ht="17.25">
      <c r="A66" s="3" t="s">
        <v>56</v>
      </c>
      <c r="B66" s="3" t="s">
        <v>109</v>
      </c>
      <c r="C66" s="3" t="s">
        <v>111</v>
      </c>
      <c r="D66" s="117">
        <v>2025</v>
      </c>
      <c r="E66" s="118">
        <v>634.500007629395</v>
      </c>
      <c r="F66" s="118">
        <v>6240.30010986328</v>
      </c>
      <c r="G66" s="118">
        <v>34167.0390625</v>
      </c>
      <c r="H66" s="117">
        <v>22220</v>
      </c>
      <c r="I66" s="118">
        <v>43988.419921875</v>
      </c>
      <c r="J66" s="117">
        <v>49889</v>
      </c>
      <c r="K66" s="22"/>
      <c r="L66" s="117">
        <v>75715</v>
      </c>
      <c r="M66" s="118">
        <v>67232.509765625</v>
      </c>
      <c r="N66" s="118">
        <v>173716.841796875</v>
      </c>
      <c r="O66" s="22"/>
      <c r="P66" s="118">
        <v>18841.3299560547</v>
      </c>
      <c r="Q66" s="118">
        <v>8103.2901763916</v>
      </c>
      <c r="R66" s="118">
        <v>32669.3494873047</v>
      </c>
      <c r="S66" s="117">
        <v>87070</v>
      </c>
      <c r="T66" s="118">
        <v>4818.33001708984</v>
      </c>
      <c r="U66" s="118">
        <v>2134.25003051758</v>
      </c>
      <c r="V66" s="118">
        <v>24057.75</v>
      </c>
      <c r="W66" s="118">
        <v>34745.2100219727</v>
      </c>
      <c r="X66" s="3"/>
    </row>
    <row x14ac:dyDescent="0.25" r="67" customHeight="1" ht="17.25">
      <c r="A67" s="3" t="s">
        <v>56</v>
      </c>
      <c r="B67" s="3" t="s">
        <v>109</v>
      </c>
      <c r="C67" s="3" t="s">
        <v>111</v>
      </c>
      <c r="D67" s="22" t="s">
        <v>59</v>
      </c>
      <c r="E67" s="119">
        <v>-0.71</v>
      </c>
      <c r="F67" s="119">
        <v>-0.31</v>
      </c>
      <c r="G67" s="119">
        <v>-0.36</v>
      </c>
      <c r="H67" s="119">
        <v>-0.42</v>
      </c>
      <c r="I67" s="119">
        <v>-0.25</v>
      </c>
      <c r="J67" s="119">
        <v>-0.13</v>
      </c>
      <c r="K67" s="22" t="s">
        <v>60</v>
      </c>
      <c r="L67" s="119">
        <v>0.18</v>
      </c>
      <c r="M67" s="119">
        <v>0.1</v>
      </c>
      <c r="N67" s="119">
        <v>0.14</v>
      </c>
      <c r="O67" s="22" t="s">
        <v>60</v>
      </c>
      <c r="P67" s="119">
        <v>0.08</v>
      </c>
      <c r="Q67" s="119">
        <v>-0.18</v>
      </c>
      <c r="R67" s="119">
        <v>0.18</v>
      </c>
      <c r="S67" s="119">
        <v>0.01</v>
      </c>
      <c r="T67" s="119">
        <v>-0.17</v>
      </c>
      <c r="U67" s="119">
        <v>-0.32</v>
      </c>
      <c r="V67" s="119">
        <v>-0.11</v>
      </c>
      <c r="W67" s="119">
        <v>-0.38</v>
      </c>
      <c r="X67" s="3"/>
    </row>
    <row x14ac:dyDescent="0.25" r="68" customHeight="1" ht="17.25">
      <c r="A68" s="3" t="s">
        <v>56</v>
      </c>
      <c r="B68" s="3" t="s">
        <v>112</v>
      </c>
      <c r="C68" s="3" t="s">
        <v>113</v>
      </c>
      <c r="D68" s="117">
        <v>2024</v>
      </c>
      <c r="E68" s="118">
        <v>4015.23001098633</v>
      </c>
      <c r="F68" s="118">
        <v>10164.3599853516</v>
      </c>
      <c r="G68" s="118">
        <v>25475.2800292969</v>
      </c>
      <c r="H68" s="118">
        <v>18467.66015625</v>
      </c>
      <c r="I68" s="118">
        <v>34350.5</v>
      </c>
      <c r="J68" s="117">
        <v>23688</v>
      </c>
      <c r="K68" s="22"/>
      <c r="L68" s="117">
        <v>27930</v>
      </c>
      <c r="M68" s="118">
        <v>22701.580078125</v>
      </c>
      <c r="N68" s="118">
        <v>86867.6396484375</v>
      </c>
      <c r="O68" s="22"/>
      <c r="P68" s="118">
        <v>5429.64990234375</v>
      </c>
      <c r="Q68" s="118">
        <v>5133.07989501953</v>
      </c>
      <c r="R68" s="118">
        <v>11225.9196166992</v>
      </c>
      <c r="S68" s="118">
        <v>41886.220703125</v>
      </c>
      <c r="T68" s="118">
        <v>6057.3798828125</v>
      </c>
      <c r="U68" s="118">
        <v>2345.39999389648</v>
      </c>
      <c r="V68" s="118">
        <v>11153.7102050781</v>
      </c>
      <c r="W68" s="118">
        <v>45174.4707336426</v>
      </c>
      <c r="X68" s="3"/>
    </row>
    <row x14ac:dyDescent="0.25" r="69" customHeight="1" ht="17.25">
      <c r="A69" s="3" t="s">
        <v>56</v>
      </c>
      <c r="B69" s="3" t="s">
        <v>112</v>
      </c>
      <c r="C69" s="3" t="s">
        <v>113</v>
      </c>
      <c r="D69" s="117">
        <v>2025</v>
      </c>
      <c r="E69" s="118">
        <v>3350.15992736816</v>
      </c>
      <c r="F69" s="118">
        <v>7828.73986816406</v>
      </c>
      <c r="G69" s="118">
        <v>16829.5703125</v>
      </c>
      <c r="H69" s="118">
        <v>6471.66998291016</v>
      </c>
      <c r="I69" s="118">
        <v>30974.919921875</v>
      </c>
      <c r="J69" s="117">
        <v>17962</v>
      </c>
      <c r="K69" s="22"/>
      <c r="L69" s="118">
        <v>42037.5</v>
      </c>
      <c r="M69" s="118">
        <v>37964.5002441406</v>
      </c>
      <c r="N69" s="118">
        <v>103369.407226563</v>
      </c>
      <c r="O69" s="22"/>
      <c r="P69" s="118">
        <v>7002.6799621582</v>
      </c>
      <c r="Q69" s="118">
        <v>4495.28002929688</v>
      </c>
      <c r="R69" s="118">
        <v>15163.7097167969</v>
      </c>
      <c r="S69" s="117">
        <v>48390</v>
      </c>
      <c r="T69" s="117">
        <v>5546</v>
      </c>
      <c r="U69" s="121">
        <v>2330.34000968933</v>
      </c>
      <c r="V69" s="118">
        <v>11485.7100830078</v>
      </c>
      <c r="W69" s="118">
        <v>28577.9201049805</v>
      </c>
      <c r="X69" s="3"/>
    </row>
    <row x14ac:dyDescent="0.25" r="70" customHeight="1" ht="17.25">
      <c r="A70" s="3" t="s">
        <v>56</v>
      </c>
      <c r="B70" s="3" t="s">
        <v>112</v>
      </c>
      <c r="C70" s="3" t="s">
        <v>113</v>
      </c>
      <c r="D70" s="22" t="s">
        <v>59</v>
      </c>
      <c r="E70" s="119">
        <v>-0.17</v>
      </c>
      <c r="F70" s="119">
        <v>-0.23</v>
      </c>
      <c r="G70" s="119">
        <v>-0.34</v>
      </c>
      <c r="H70" s="119">
        <v>-0.65</v>
      </c>
      <c r="I70" s="119">
        <v>-0.1</v>
      </c>
      <c r="J70" s="119">
        <v>-0.24</v>
      </c>
      <c r="K70" s="22" t="s">
        <v>60</v>
      </c>
      <c r="L70" s="119">
        <v>0.51</v>
      </c>
      <c r="M70" s="119">
        <v>0.67</v>
      </c>
      <c r="N70" s="119">
        <v>0.19</v>
      </c>
      <c r="O70" s="22" t="s">
        <v>60</v>
      </c>
      <c r="P70" s="119">
        <v>0.29</v>
      </c>
      <c r="Q70" s="119">
        <v>-0.12</v>
      </c>
      <c r="R70" s="119">
        <v>0.35</v>
      </c>
      <c r="S70" s="119">
        <v>0.16</v>
      </c>
      <c r="T70" s="119">
        <v>-0.08</v>
      </c>
      <c r="U70" s="119">
        <v>-0.01</v>
      </c>
      <c r="V70" s="119">
        <v>0.03</v>
      </c>
      <c r="W70" s="119">
        <v>-0.37</v>
      </c>
      <c r="X70" s="3"/>
    </row>
    <row x14ac:dyDescent="0.25" r="71" customHeight="1" ht="17.25">
      <c r="A71" s="3" t="s">
        <v>56</v>
      </c>
      <c r="B71" s="3" t="s">
        <v>114</v>
      </c>
      <c r="C71" s="3" t="s">
        <v>115</v>
      </c>
      <c r="D71" s="117">
        <v>2024</v>
      </c>
      <c r="E71" s="29"/>
      <c r="F71" s="29"/>
      <c r="G71" s="29"/>
      <c r="H71" s="29"/>
      <c r="I71" s="29"/>
      <c r="J71" s="29"/>
      <c r="K71" s="22"/>
      <c r="L71" s="29"/>
      <c r="M71" s="29"/>
      <c r="N71" s="29"/>
      <c r="O71" s="22"/>
      <c r="P71" s="29"/>
      <c r="Q71" s="29"/>
      <c r="R71" s="29"/>
      <c r="S71" s="29"/>
      <c r="T71" s="29"/>
      <c r="U71" s="29"/>
      <c r="V71" s="29"/>
      <c r="W71" s="29"/>
      <c r="X71" s="3"/>
    </row>
    <row x14ac:dyDescent="0.25" r="72" customHeight="1" ht="17.25">
      <c r="A72" s="3" t="s">
        <v>56</v>
      </c>
      <c r="B72" s="3" t="s">
        <v>114</v>
      </c>
      <c r="C72" s="3" t="s">
        <v>115</v>
      </c>
      <c r="D72" s="117">
        <v>2025</v>
      </c>
      <c r="E72" s="29"/>
      <c r="F72" s="29"/>
      <c r="G72" s="29"/>
      <c r="H72" s="29"/>
      <c r="I72" s="29"/>
      <c r="J72" s="29"/>
      <c r="K72" s="22"/>
      <c r="L72" s="29"/>
      <c r="M72" s="29"/>
      <c r="N72" s="29"/>
      <c r="O72" s="22"/>
      <c r="P72" s="29"/>
      <c r="Q72" s="29"/>
      <c r="R72" s="29"/>
      <c r="S72" s="29"/>
      <c r="T72" s="29"/>
      <c r="U72" s="29"/>
      <c r="V72" s="29"/>
      <c r="W72" s="29"/>
      <c r="X72" s="3"/>
    </row>
    <row x14ac:dyDescent="0.25" r="73" customHeight="1" ht="17.25">
      <c r="A73" s="3" t="s">
        <v>56</v>
      </c>
      <c r="B73" s="3" t="s">
        <v>114</v>
      </c>
      <c r="C73" s="3" t="s">
        <v>115</v>
      </c>
      <c r="D73" s="22" t="s">
        <v>59</v>
      </c>
      <c r="E73" s="120" t="s">
        <v>60</v>
      </c>
      <c r="F73" s="120" t="s">
        <v>60</v>
      </c>
      <c r="G73" s="120" t="s">
        <v>60</v>
      </c>
      <c r="H73" s="120" t="s">
        <v>60</v>
      </c>
      <c r="I73" s="120" t="s">
        <v>60</v>
      </c>
      <c r="J73" s="120" t="s">
        <v>60</v>
      </c>
      <c r="K73" s="22" t="s">
        <v>60</v>
      </c>
      <c r="L73" s="120" t="s">
        <v>60</v>
      </c>
      <c r="M73" s="120" t="s">
        <v>60</v>
      </c>
      <c r="N73" s="120" t="s">
        <v>60</v>
      </c>
      <c r="O73" s="22" t="s">
        <v>60</v>
      </c>
      <c r="P73" s="120" t="s">
        <v>60</v>
      </c>
      <c r="Q73" s="120" t="s">
        <v>60</v>
      </c>
      <c r="R73" s="120" t="s">
        <v>60</v>
      </c>
      <c r="S73" s="120" t="s">
        <v>60</v>
      </c>
      <c r="T73" s="120" t="s">
        <v>60</v>
      </c>
      <c r="U73" s="120" t="s">
        <v>60</v>
      </c>
      <c r="V73" s="120" t="s">
        <v>60</v>
      </c>
      <c r="W73" s="120" t="s">
        <v>60</v>
      </c>
      <c r="X73" s="3"/>
    </row>
    <row x14ac:dyDescent="0.25" r="74" customHeight="1" ht="17.25">
      <c r="A74" s="3" t="s">
        <v>56</v>
      </c>
      <c r="B74" s="3" t="s">
        <v>116</v>
      </c>
      <c r="C74" s="3" t="s">
        <v>117</v>
      </c>
      <c r="D74" s="117">
        <v>2024</v>
      </c>
      <c r="E74" s="118">
        <v>14877.8997802734</v>
      </c>
      <c r="F74" s="118">
        <v>38701.0900878906</v>
      </c>
      <c r="G74" s="118">
        <v>103815.729492188</v>
      </c>
      <c r="H74" s="118">
        <v>31540.6704101563</v>
      </c>
      <c r="I74" s="117">
        <v>102815</v>
      </c>
      <c r="J74" s="118">
        <v>24166.5</v>
      </c>
      <c r="K74" s="22"/>
      <c r="L74" s="117">
        <v>126559</v>
      </c>
      <c r="M74" s="118">
        <v>91806.931640625</v>
      </c>
      <c r="N74" s="118">
        <v>133647.233398438</v>
      </c>
      <c r="O74" s="22"/>
      <c r="P74" s="118">
        <v>29102.9106445313</v>
      </c>
      <c r="Q74" s="118">
        <v>17313.8599395752</v>
      </c>
      <c r="R74" s="118">
        <v>15047.3598327637</v>
      </c>
      <c r="S74" s="118">
        <v>87205.7284240723</v>
      </c>
      <c r="T74" s="118">
        <v>11844.4501342773</v>
      </c>
      <c r="U74" s="118">
        <v>3559.56994628906</v>
      </c>
      <c r="V74" s="118">
        <v>34314.2392578125</v>
      </c>
      <c r="W74" s="118">
        <v>106458.811279297</v>
      </c>
      <c r="X74" s="3"/>
    </row>
    <row x14ac:dyDescent="0.25" r="75" customHeight="1" ht="17.25">
      <c r="A75" s="3" t="s">
        <v>56</v>
      </c>
      <c r="B75" s="3" t="s">
        <v>116</v>
      </c>
      <c r="C75" s="3" t="s">
        <v>117</v>
      </c>
      <c r="D75" s="117">
        <v>2025</v>
      </c>
      <c r="E75" s="118">
        <v>14760.3795471191</v>
      </c>
      <c r="F75" s="118">
        <v>41117.4600830078</v>
      </c>
      <c r="G75" s="118">
        <v>68035.2800292969</v>
      </c>
      <c r="H75" s="118">
        <v>11843.3400268555</v>
      </c>
      <c r="I75" s="118">
        <v>90321.369140625</v>
      </c>
      <c r="J75" s="118">
        <v>19639.25</v>
      </c>
      <c r="K75" s="22"/>
      <c r="L75" s="118">
        <v>139483.75</v>
      </c>
      <c r="M75" s="118">
        <v>101774.261230469</v>
      </c>
      <c r="N75" s="118">
        <v>123436.337890625</v>
      </c>
      <c r="O75" s="22"/>
      <c r="P75" s="118">
        <v>29601.0510253906</v>
      </c>
      <c r="Q75" s="118">
        <v>20355.5004272461</v>
      </c>
      <c r="R75" s="121">
        <v>11891.580034256</v>
      </c>
      <c r="S75" s="118">
        <v>76332.5</v>
      </c>
      <c r="T75" s="118">
        <v>9041.73010253906</v>
      </c>
      <c r="U75" s="118">
        <v>3506.74000167847</v>
      </c>
      <c r="V75" s="118">
        <v>33408.9096679688</v>
      </c>
      <c r="W75" s="118">
        <v>100115.071533203</v>
      </c>
      <c r="X75" s="3"/>
    </row>
    <row x14ac:dyDescent="0.25" r="76" customHeight="1" ht="17.25">
      <c r="A76" s="3" t="s">
        <v>56</v>
      </c>
      <c r="B76" s="3" t="s">
        <v>116</v>
      </c>
      <c r="C76" s="3" t="s">
        <v>117</v>
      </c>
      <c r="D76" s="22" t="s">
        <v>59</v>
      </c>
      <c r="E76" s="119">
        <v>-0.01</v>
      </c>
      <c r="F76" s="119">
        <v>0.06</v>
      </c>
      <c r="G76" s="119">
        <v>-0.34</v>
      </c>
      <c r="H76" s="119">
        <v>-0.62</v>
      </c>
      <c r="I76" s="119">
        <v>-0.12</v>
      </c>
      <c r="J76" s="119">
        <v>-0.19</v>
      </c>
      <c r="K76" s="22" t="s">
        <v>60</v>
      </c>
      <c r="L76" s="119">
        <v>0.1</v>
      </c>
      <c r="M76" s="119">
        <v>0.11</v>
      </c>
      <c r="N76" s="119">
        <v>-0.08</v>
      </c>
      <c r="O76" s="22" t="s">
        <v>60</v>
      </c>
      <c r="P76" s="119">
        <v>0.02</v>
      </c>
      <c r="Q76" s="119">
        <v>0.18</v>
      </c>
      <c r="R76" s="119">
        <v>-0.21</v>
      </c>
      <c r="S76" s="119">
        <v>-0.12</v>
      </c>
      <c r="T76" s="119">
        <v>-0.24</v>
      </c>
      <c r="U76" s="119">
        <v>-0.01</v>
      </c>
      <c r="V76" s="119">
        <v>-0.03</v>
      </c>
      <c r="W76" s="119">
        <v>-0.06</v>
      </c>
      <c r="X76" s="3"/>
    </row>
    <row x14ac:dyDescent="0.25" r="77" customHeight="1" ht="17.25">
      <c r="A77" s="3" t="s">
        <v>56</v>
      </c>
      <c r="B77" s="3" t="s">
        <v>118</v>
      </c>
      <c r="C77" s="3" t="s">
        <v>118</v>
      </c>
      <c r="D77" s="117">
        <v>2024</v>
      </c>
      <c r="E77" s="118">
        <v>307581.813053251</v>
      </c>
      <c r="F77" s="118">
        <v>705115.754806042</v>
      </c>
      <c r="G77" s="118">
        <v>714831.249996185</v>
      </c>
      <c r="H77" s="118">
        <v>381498.858123779</v>
      </c>
      <c r="I77" s="118">
        <v>912692.660157204</v>
      </c>
      <c r="J77" s="118">
        <v>490228.578128815</v>
      </c>
      <c r="K77" s="117">
        <v>0</v>
      </c>
      <c r="L77" s="118">
        <v>3271653.08000183</v>
      </c>
      <c r="M77" s="118">
        <v>2164268.15728045</v>
      </c>
      <c r="N77" s="118">
        <v>5703559.09186935</v>
      </c>
      <c r="O77" s="117">
        <v>0</v>
      </c>
      <c r="P77" s="118">
        <v>472957.992812395</v>
      </c>
      <c r="Q77" s="118">
        <v>211266.450039864</v>
      </c>
      <c r="R77" s="118">
        <v>750238.383846283</v>
      </c>
      <c r="S77" s="118">
        <v>3338849.74487305</v>
      </c>
      <c r="T77" s="118">
        <v>70766.7682929039</v>
      </c>
      <c r="U77" s="118">
        <v>25417.7998065948</v>
      </c>
      <c r="V77" s="118">
        <v>436520.013946534</v>
      </c>
      <c r="W77" s="118">
        <v>72384.3703308105</v>
      </c>
      <c r="X77" s="3"/>
    </row>
    <row x14ac:dyDescent="0.25" r="78" customHeight="1" ht="17.25">
      <c r="A78" s="3" t="s">
        <v>56</v>
      </c>
      <c r="B78" s="3" t="s">
        <v>118</v>
      </c>
      <c r="C78" s="3" t="s">
        <v>118</v>
      </c>
      <c r="D78" s="117">
        <v>2025</v>
      </c>
      <c r="E78" s="118">
        <v>259160.553905487</v>
      </c>
      <c r="F78" s="118">
        <v>529815.771719456</v>
      </c>
      <c r="G78" s="118">
        <v>109920.669995308</v>
      </c>
      <c r="H78" s="118">
        <v>132838.170007706</v>
      </c>
      <c r="I78" s="118">
        <v>475615.460105896</v>
      </c>
      <c r="J78" s="118">
        <v>229585.830088615</v>
      </c>
      <c r="K78" s="117">
        <v>0</v>
      </c>
      <c r="L78" s="118">
        <v>4035304.61003494</v>
      </c>
      <c r="M78" s="118">
        <v>2250294.2518444</v>
      </c>
      <c r="N78" s="118">
        <v>5940489.34625244</v>
      </c>
      <c r="O78" s="117">
        <v>0</v>
      </c>
      <c r="P78" s="118">
        <v>554052.029296875</v>
      </c>
      <c r="Q78" s="118">
        <v>281645.580208778</v>
      </c>
      <c r="R78" s="118">
        <v>769100.092590332</v>
      </c>
      <c r="S78" s="118">
        <v>3139523.60644531</v>
      </c>
      <c r="T78" s="118">
        <v>67410.7505469322</v>
      </c>
      <c r="U78" s="118">
        <v>22450.8901567459</v>
      </c>
      <c r="V78" s="118">
        <v>401072.584023953</v>
      </c>
      <c r="W78" s="118">
        <v>32798.1397686005</v>
      </c>
      <c r="X78" s="3"/>
    </row>
    <row x14ac:dyDescent="0.25" r="79" customHeight="1" ht="17.25">
      <c r="A79" s="3" t="s">
        <v>56</v>
      </c>
      <c r="B79" s="3" t="s">
        <v>118</v>
      </c>
      <c r="C79" s="3" t="s">
        <v>118</v>
      </c>
      <c r="D79" s="22" t="s">
        <v>59</v>
      </c>
      <c r="E79" s="119">
        <v>-0.16</v>
      </c>
      <c r="F79" s="119">
        <v>-0.25</v>
      </c>
      <c r="G79" s="119">
        <v>-0.85</v>
      </c>
      <c r="H79" s="119">
        <v>-0.65</v>
      </c>
      <c r="I79" s="119">
        <v>-0.48</v>
      </c>
      <c r="J79" s="119">
        <v>-0.53</v>
      </c>
      <c r="K79" s="22" t="s">
        <v>60</v>
      </c>
      <c r="L79" s="119">
        <v>0.23</v>
      </c>
      <c r="M79" s="119">
        <v>0.04</v>
      </c>
      <c r="N79" s="119">
        <v>0.04</v>
      </c>
      <c r="O79" s="22" t="s">
        <v>60</v>
      </c>
      <c r="P79" s="119">
        <v>0.17</v>
      </c>
      <c r="Q79" s="119">
        <v>0.33</v>
      </c>
      <c r="R79" s="119">
        <v>0.03</v>
      </c>
      <c r="S79" s="119">
        <v>-0.06</v>
      </c>
      <c r="T79" s="119">
        <v>-0.05</v>
      </c>
      <c r="U79" s="119">
        <v>-0.12</v>
      </c>
      <c r="V79" s="119">
        <v>-0.08</v>
      </c>
      <c r="W79" s="119">
        <v>-0.55</v>
      </c>
      <c r="X79" s="3"/>
    </row>
    <row x14ac:dyDescent="0.25" r="80" customHeight="1" ht="17.25">
      <c r="A80" s="3" t="s">
        <v>56</v>
      </c>
      <c r="B80" s="3" t="s">
        <v>119</v>
      </c>
      <c r="C80" s="3" t="s">
        <v>120</v>
      </c>
      <c r="D80" s="117">
        <v>2024</v>
      </c>
      <c r="E80" s="118">
        <v>58991.4908695221</v>
      </c>
      <c r="F80" s="118">
        <v>101511.529560089</v>
      </c>
      <c r="G80" s="118">
        <v>411107.892416954</v>
      </c>
      <c r="H80" s="118">
        <v>194827.119140625</v>
      </c>
      <c r="I80" s="117">
        <v>407299</v>
      </c>
      <c r="J80" s="118">
        <v>202735.5</v>
      </c>
      <c r="K80" s="117">
        <v>0</v>
      </c>
      <c r="L80" s="118">
        <v>507979.25</v>
      </c>
      <c r="M80" s="118">
        <v>290687.671203613</v>
      </c>
      <c r="N80" s="118">
        <v>999578.795166015</v>
      </c>
      <c r="O80" s="117">
        <v>0</v>
      </c>
      <c r="P80" s="118">
        <v>114051.369293213</v>
      </c>
      <c r="Q80" s="118">
        <v>35945.3101654053</v>
      </c>
      <c r="R80" s="118">
        <v>132159.220480919</v>
      </c>
      <c r="S80" s="118">
        <v>493212.658477783</v>
      </c>
      <c r="T80" s="118">
        <v>41139.2903289795</v>
      </c>
      <c r="U80" s="118">
        <v>3906.43997383118</v>
      </c>
      <c r="V80" s="118">
        <v>110430.119033814</v>
      </c>
      <c r="W80" s="118">
        <v>310117.831863403</v>
      </c>
      <c r="X80" s="3"/>
    </row>
    <row x14ac:dyDescent="0.25" r="81" customHeight="1" ht="17.25">
      <c r="A81" s="3" t="s">
        <v>56</v>
      </c>
      <c r="B81" s="3" t="s">
        <v>119</v>
      </c>
      <c r="C81" s="3" t="s">
        <v>120</v>
      </c>
      <c r="D81" s="117">
        <v>2025</v>
      </c>
      <c r="E81" s="118">
        <v>54473.5000209808</v>
      </c>
      <c r="F81" s="118">
        <v>101630.499412537</v>
      </c>
      <c r="G81" s="118">
        <v>224271.492736816</v>
      </c>
      <c r="H81" s="118">
        <v>84663.3799438477</v>
      </c>
      <c r="I81" s="118">
        <v>329430.802612305</v>
      </c>
      <c r="J81" s="118">
        <v>142361.099731445</v>
      </c>
      <c r="K81" s="117">
        <v>0</v>
      </c>
      <c r="L81" s="118">
        <v>563506.75</v>
      </c>
      <c r="M81" s="118">
        <v>277695.227172852</v>
      </c>
      <c r="N81" s="118">
        <v>995072.114120483</v>
      </c>
      <c r="O81" s="117">
        <v>0</v>
      </c>
      <c r="P81" s="118">
        <v>122039.940078735</v>
      </c>
      <c r="Q81" s="118">
        <v>42214.0300254822</v>
      </c>
      <c r="R81" s="118">
        <v>107723.390441894</v>
      </c>
      <c r="S81" s="118">
        <v>456904.320020676</v>
      </c>
      <c r="T81" s="118">
        <v>35173.6498756409</v>
      </c>
      <c r="U81" s="118">
        <v>3272.98999977112</v>
      </c>
      <c r="V81" s="118">
        <v>105507.430688858</v>
      </c>
      <c r="W81" s="118">
        <v>289750.03080368</v>
      </c>
      <c r="X81" s="3"/>
    </row>
    <row x14ac:dyDescent="0.25" r="82" customHeight="1" ht="17.25">
      <c r="A82" s="3" t="s">
        <v>56</v>
      </c>
      <c r="B82" s="3" t="s">
        <v>119</v>
      </c>
      <c r="C82" s="3" t="s">
        <v>120</v>
      </c>
      <c r="D82" s="22" t="s">
        <v>59</v>
      </c>
      <c r="E82" s="119">
        <v>-0.08</v>
      </c>
      <c r="F82" s="119">
        <v>0</v>
      </c>
      <c r="G82" s="119">
        <v>-0.45</v>
      </c>
      <c r="H82" s="119">
        <v>-0.57</v>
      </c>
      <c r="I82" s="119">
        <v>-0.19</v>
      </c>
      <c r="J82" s="119">
        <v>-0.3</v>
      </c>
      <c r="K82" s="22" t="s">
        <v>60</v>
      </c>
      <c r="L82" s="119">
        <v>0.11</v>
      </c>
      <c r="M82" s="119">
        <v>-0.04</v>
      </c>
      <c r="N82" s="119">
        <v>0</v>
      </c>
      <c r="O82" s="22" t="s">
        <v>60</v>
      </c>
      <c r="P82" s="119">
        <v>0.07</v>
      </c>
      <c r="Q82" s="119">
        <v>0.17</v>
      </c>
      <c r="R82" s="119">
        <v>-0.18</v>
      </c>
      <c r="S82" s="119">
        <v>-0.07</v>
      </c>
      <c r="T82" s="119">
        <v>-0.15</v>
      </c>
      <c r="U82" s="119">
        <v>-0.16</v>
      </c>
      <c r="V82" s="119">
        <v>-0.04</v>
      </c>
      <c r="W82" s="119">
        <v>-0.07</v>
      </c>
      <c r="X82" s="3"/>
    </row>
    <row x14ac:dyDescent="0.25" r="83" customHeight="1" ht="17.25">
      <c r="A83" s="3" t="s">
        <v>56</v>
      </c>
      <c r="B83" s="3" t="s">
        <v>121</v>
      </c>
      <c r="C83" s="3" t="s">
        <v>122</v>
      </c>
      <c r="D83" s="117">
        <v>2024</v>
      </c>
      <c r="E83" s="118">
        <v>69341.7896881103</v>
      </c>
      <c r="F83" s="118">
        <v>171114.308815003</v>
      </c>
      <c r="G83" s="118">
        <v>450574.278762818</v>
      </c>
      <c r="H83" s="118">
        <v>208979.729858398</v>
      </c>
      <c r="I83" s="118">
        <v>470653.5</v>
      </c>
      <c r="J83" s="118">
        <v>214206.5</v>
      </c>
      <c r="K83" s="117">
        <v>0</v>
      </c>
      <c r="L83" s="118">
        <v>628073.5</v>
      </c>
      <c r="M83" s="118">
        <v>472571.813476563</v>
      </c>
      <c r="N83" s="118">
        <v>1028102.56500244</v>
      </c>
      <c r="O83" s="117">
        <v>0</v>
      </c>
      <c r="P83" s="118">
        <v>142107.391967774</v>
      </c>
      <c r="Q83" s="118">
        <v>78396.4499835967</v>
      </c>
      <c r="R83" s="118">
        <v>132008.858652344</v>
      </c>
      <c r="S83" s="118">
        <v>587573.514562607</v>
      </c>
      <c r="T83" s="118">
        <v>62319.1698150634</v>
      </c>
      <c r="U83" s="118">
        <v>15874.8099241257</v>
      </c>
      <c r="V83" s="118">
        <v>177506.450302124</v>
      </c>
      <c r="W83" s="118">
        <v>427822.530702591</v>
      </c>
      <c r="X83" s="3"/>
    </row>
    <row x14ac:dyDescent="0.25" r="84" customHeight="1" ht="17.25">
      <c r="A84" s="3" t="s">
        <v>56</v>
      </c>
      <c r="B84" s="3" t="s">
        <v>121</v>
      </c>
      <c r="C84" s="3" t="s">
        <v>122</v>
      </c>
      <c r="D84" s="117">
        <v>2025</v>
      </c>
      <c r="E84" s="118">
        <v>62783.0396595002</v>
      </c>
      <c r="F84" s="118">
        <v>161828.170295715</v>
      </c>
      <c r="G84" s="118">
        <v>280446.379882813</v>
      </c>
      <c r="H84" s="118">
        <v>98211.7095947266</v>
      </c>
      <c r="I84" s="118">
        <v>409763.738037109</v>
      </c>
      <c r="J84" s="118">
        <v>176642.919921875</v>
      </c>
      <c r="K84" s="117">
        <v>0</v>
      </c>
      <c r="L84" s="118">
        <v>682104.75</v>
      </c>
      <c r="M84" s="118">
        <v>508052.214111329</v>
      </c>
      <c r="N84" s="118">
        <v>1008704.55949402</v>
      </c>
      <c r="O84" s="117">
        <v>0</v>
      </c>
      <c r="P84" s="118">
        <v>147350.939378738</v>
      </c>
      <c r="Q84" s="118">
        <v>73423.000120163</v>
      </c>
      <c r="R84" s="118">
        <v>125182.750448456</v>
      </c>
      <c r="S84" s="118">
        <v>526648.499956131</v>
      </c>
      <c r="T84" s="118">
        <v>52740.9399261476</v>
      </c>
      <c r="U84" s="118">
        <v>12979.0200366974</v>
      </c>
      <c r="V84" s="118">
        <v>169302.02804184</v>
      </c>
      <c r="W84" s="118">
        <v>343063.072418213</v>
      </c>
      <c r="X84" s="3"/>
    </row>
    <row x14ac:dyDescent="0.25" r="85" customHeight="1" ht="17.25">
      <c r="A85" s="3" t="s">
        <v>56</v>
      </c>
      <c r="B85" s="3" t="s">
        <v>121</v>
      </c>
      <c r="C85" s="3" t="s">
        <v>122</v>
      </c>
      <c r="D85" s="22" t="s">
        <v>59</v>
      </c>
      <c r="E85" s="119">
        <v>-0.09</v>
      </c>
      <c r="F85" s="119">
        <v>-0.05</v>
      </c>
      <c r="G85" s="119">
        <v>-0.38</v>
      </c>
      <c r="H85" s="119">
        <v>-0.53</v>
      </c>
      <c r="I85" s="119">
        <v>-0.13</v>
      </c>
      <c r="J85" s="119">
        <v>-0.18</v>
      </c>
      <c r="K85" s="22" t="s">
        <v>60</v>
      </c>
      <c r="L85" s="119">
        <v>0.09</v>
      </c>
      <c r="M85" s="119">
        <v>0.08</v>
      </c>
      <c r="N85" s="119">
        <v>-0.02</v>
      </c>
      <c r="O85" s="22" t="s">
        <v>60</v>
      </c>
      <c r="P85" s="119">
        <v>0.04</v>
      </c>
      <c r="Q85" s="119">
        <v>-0.06</v>
      </c>
      <c r="R85" s="119">
        <v>-0.05</v>
      </c>
      <c r="S85" s="119">
        <v>-0.1</v>
      </c>
      <c r="T85" s="119">
        <v>-0.15</v>
      </c>
      <c r="U85" s="119">
        <v>-0.18</v>
      </c>
      <c r="V85" s="119">
        <v>-0.05</v>
      </c>
      <c r="W85" s="119">
        <v>-0.2</v>
      </c>
      <c r="X85" s="3"/>
    </row>
    <row x14ac:dyDescent="0.25" r="86" customHeight="1" ht="17.25">
      <c r="A86" s="3" t="s">
        <v>56</v>
      </c>
      <c r="B86" s="3" t="s">
        <v>123</v>
      </c>
      <c r="C86" s="3" t="s">
        <v>123</v>
      </c>
      <c r="D86" s="117">
        <v>2024</v>
      </c>
      <c r="E86" s="118">
        <v>435915.093610883</v>
      </c>
      <c r="F86" s="118">
        <v>977741.593181133</v>
      </c>
      <c r="G86" s="118">
        <v>1576513.42117596</v>
      </c>
      <c r="H86" s="118">
        <v>785305.707122803</v>
      </c>
      <c r="I86" s="118">
        <v>1790645.1601572</v>
      </c>
      <c r="J86" s="118">
        <v>907170.578128815</v>
      </c>
      <c r="K86" s="117">
        <v>0</v>
      </c>
      <c r="L86" s="118">
        <v>4407705.83000183</v>
      </c>
      <c r="M86" s="118">
        <v>2927527.64196062</v>
      </c>
      <c r="N86" s="118">
        <v>7731240.45203781</v>
      </c>
      <c r="O86" s="117">
        <v>0</v>
      </c>
      <c r="P86" s="118">
        <v>729116.754073382</v>
      </c>
      <c r="Q86" s="118">
        <v>325608.210188866</v>
      </c>
      <c r="R86" s="118">
        <v>1014406.46297955</v>
      </c>
      <c r="S86" s="118">
        <v>4419635.91791344</v>
      </c>
      <c r="T86" s="118">
        <v>174225.228436947</v>
      </c>
      <c r="U86" s="118">
        <v>45199.0497045517</v>
      </c>
      <c r="V86" s="118">
        <v>724456.583282471</v>
      </c>
      <c r="W86" s="118">
        <v>810324.732896805</v>
      </c>
      <c r="X86" s="3"/>
    </row>
    <row x14ac:dyDescent="0.25" r="87" customHeight="1" ht="17.25">
      <c r="A87" s="3" t="s">
        <v>56</v>
      </c>
      <c r="B87" s="3" t="s">
        <v>123</v>
      </c>
      <c r="C87" s="3" t="s">
        <v>123</v>
      </c>
      <c r="D87" s="117">
        <v>2025</v>
      </c>
      <c r="E87" s="118">
        <v>376417.093585968</v>
      </c>
      <c r="F87" s="118">
        <v>793274.441427708</v>
      </c>
      <c r="G87" s="118">
        <v>614638.542614937</v>
      </c>
      <c r="H87" s="118">
        <v>315713.25954628</v>
      </c>
      <c r="I87" s="118">
        <v>1214810.00075531</v>
      </c>
      <c r="J87" s="118">
        <v>548589.849741936</v>
      </c>
      <c r="K87" s="117">
        <v>0</v>
      </c>
      <c r="L87" s="118">
        <v>5280916.11003494</v>
      </c>
      <c r="M87" s="118">
        <v>3036041.69312858</v>
      </c>
      <c r="N87" s="118">
        <v>7944266.01986694</v>
      </c>
      <c r="O87" s="117">
        <v>0</v>
      </c>
      <c r="P87" s="118">
        <v>823442.908754349</v>
      </c>
      <c r="Q87" s="118">
        <v>397282.610354423</v>
      </c>
      <c r="R87" s="118">
        <v>1002006.23348068</v>
      </c>
      <c r="S87" s="118">
        <v>4123076.42642212</v>
      </c>
      <c r="T87" s="118">
        <v>155325.340348721</v>
      </c>
      <c r="U87" s="118">
        <v>38702.9001932144</v>
      </c>
      <c r="V87" s="118">
        <v>675882.042754651</v>
      </c>
      <c r="W87" s="118">
        <v>665611.242990494</v>
      </c>
      <c r="X87" s="3"/>
    </row>
    <row x14ac:dyDescent="0.25" r="88" customHeight="1" ht="17.25">
      <c r="A88" s="3" t="s">
        <v>56</v>
      </c>
      <c r="B88" s="3" t="s">
        <v>123</v>
      </c>
      <c r="C88" s="3" t="s">
        <v>123</v>
      </c>
      <c r="D88" s="22" t="s">
        <v>59</v>
      </c>
      <c r="E88" s="119">
        <v>-0.14</v>
      </c>
      <c r="F88" s="119">
        <v>-0.19</v>
      </c>
      <c r="G88" s="119">
        <v>-0.61</v>
      </c>
      <c r="H88" s="119">
        <v>-0.6</v>
      </c>
      <c r="I88" s="119">
        <v>-0.32</v>
      </c>
      <c r="J88" s="119">
        <v>-0.4</v>
      </c>
      <c r="K88" s="22" t="s">
        <v>60</v>
      </c>
      <c r="L88" s="119">
        <v>0.2</v>
      </c>
      <c r="M88" s="119">
        <v>0.04</v>
      </c>
      <c r="N88" s="119">
        <v>0.03</v>
      </c>
      <c r="O88" s="22" t="s">
        <v>60</v>
      </c>
      <c r="P88" s="119">
        <v>0.13</v>
      </c>
      <c r="Q88" s="119">
        <v>0.22</v>
      </c>
      <c r="R88" s="119">
        <v>-0.01</v>
      </c>
      <c r="S88" s="119">
        <v>-0.07</v>
      </c>
      <c r="T88" s="119">
        <v>-0.11</v>
      </c>
      <c r="U88" s="119">
        <v>-0.14</v>
      </c>
      <c r="V88" s="119">
        <v>-0.07</v>
      </c>
      <c r="W88" s="119">
        <v>-0.18</v>
      </c>
      <c r="X88" s="3"/>
    </row>
  </sheetData>
  <mergeCells count="8">
    <mergeCell ref="S1:X2"/>
    <mergeCell ref="A5:B5"/>
    <mergeCell ref="E5:F5"/>
    <mergeCell ref="G5:K5"/>
    <mergeCell ref="L5:O5"/>
    <mergeCell ref="P5:R5"/>
    <mergeCell ref="T5:V5"/>
    <mergeCell ref="W6:W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88"/>
  <sheetViews>
    <sheetView workbookViewId="0"/>
  </sheetViews>
  <sheetFormatPr defaultRowHeight="15" x14ac:dyDescent="0.25"/>
  <cols>
    <col min="1" max="1" style="19" width="19.862142857142857" customWidth="1" bestFit="1"/>
    <col min="2" max="2" style="19" width="25.14785714285714" customWidth="1" bestFit="1"/>
    <col min="3" max="3" style="19" width="31.719285714285714" customWidth="1" bestFit="1"/>
    <col min="4" max="4" style="24" width="5.862142857142857" customWidth="1" bestFit="1"/>
    <col min="5" max="5" style="80" width="9.147857142857141" customWidth="1" bestFit="1"/>
    <col min="6" max="6" style="80" width="8.576428571428572" customWidth="1" bestFit="1"/>
    <col min="7" max="7" style="24" width="8.290714285714287" customWidth="1" bestFit="1"/>
    <col min="8" max="8" style="80" width="7.433571428571429" customWidth="1" bestFit="1"/>
    <col min="9" max="9" style="80" width="7.719285714285714" customWidth="1" bestFit="1"/>
    <col min="10" max="10" style="80" width="9.147857142857141" customWidth="1" bestFit="1"/>
    <col min="11" max="11" style="80" width="7.862142857142857" customWidth="1" bestFit="1"/>
    <col min="12" max="12" style="80" width="7.862142857142857" customWidth="1" bestFit="1"/>
    <col min="13" max="13" style="80" width="8.147857142857141" customWidth="1" bestFit="1"/>
    <col min="14" max="14" style="80" width="7.719285714285714" customWidth="1" bestFit="1"/>
    <col min="15" max="15" style="80" width="8.005" customWidth="1" bestFit="1"/>
    <col min="16" max="16" style="24" width="7.2907142857142855" customWidth="1" bestFit="1"/>
    <col min="17" max="17" style="80" width="8.005" customWidth="1" bestFit="1"/>
    <col min="18" max="18" style="80" width="8.862142857142858" customWidth="1" bestFit="1"/>
    <col min="19" max="19" style="80" width="8.43357142857143" customWidth="1" bestFit="1"/>
    <col min="20" max="20" style="80" width="8.147857142857141" customWidth="1" bestFit="1"/>
    <col min="21" max="21" style="80" width="8.43357142857143" customWidth="1" bestFit="1"/>
    <col min="22" max="22" style="80" width="7.576428571428571" customWidth="1" bestFit="1"/>
    <col min="23" max="23" style="80" width="8.147857142857141" customWidth="1" bestFit="1"/>
  </cols>
  <sheetData>
    <row x14ac:dyDescent="0.25" r="1" customHeight="1" ht="9.75">
      <c r="A1" s="25" t="s">
        <v>0</v>
      </c>
      <c r="B1" s="26"/>
      <c r="C1" s="27"/>
      <c r="D1" s="28"/>
      <c r="E1" s="29"/>
      <c r="F1" s="29"/>
      <c r="G1" s="22"/>
      <c r="H1" s="29"/>
      <c r="I1" s="29"/>
      <c r="J1" s="29"/>
      <c r="K1" s="29"/>
      <c r="L1" s="29"/>
      <c r="M1" s="29"/>
      <c r="N1" s="29"/>
      <c r="O1" s="29"/>
      <c r="P1" s="22"/>
      <c r="Q1" s="29"/>
      <c r="R1" s="29"/>
      <c r="S1" s="29"/>
      <c r="T1" s="29"/>
      <c r="U1" s="29"/>
      <c r="V1" s="29"/>
      <c r="W1" s="29"/>
    </row>
    <row x14ac:dyDescent="0.25" r="2" customHeight="1" ht="24.75">
      <c r="A2" s="25" t="s">
        <v>2</v>
      </c>
      <c r="B2" s="26"/>
      <c r="C2" s="27"/>
      <c r="D2" s="28"/>
      <c r="E2" s="29"/>
      <c r="F2" s="29"/>
      <c r="G2" s="30"/>
      <c r="H2" s="31" t="s">
        <v>29</v>
      </c>
      <c r="I2" s="32"/>
      <c r="J2" s="32"/>
      <c r="K2" s="32"/>
      <c r="L2" s="29"/>
      <c r="M2" s="29"/>
      <c r="N2" s="29"/>
      <c r="O2" s="29"/>
      <c r="P2" s="22"/>
      <c r="Q2" s="29"/>
      <c r="R2" s="29"/>
      <c r="S2" s="33"/>
      <c r="T2" s="34">
        <f>+TODAY()</f>
        <v>25569</v>
      </c>
      <c r="U2" s="29"/>
      <c r="V2" s="29"/>
      <c r="W2" s="29"/>
    </row>
    <row x14ac:dyDescent="0.25" r="3" customHeight="1" ht="17.25">
      <c r="A3" s="35"/>
      <c r="B3" s="35"/>
      <c r="C3" s="35"/>
      <c r="D3" s="30"/>
      <c r="E3" s="32"/>
      <c r="F3" s="32"/>
      <c r="G3" s="30"/>
      <c r="H3" s="32"/>
      <c r="I3" s="36"/>
      <c r="J3" s="36" t="s">
        <v>124</v>
      </c>
      <c r="K3" s="36"/>
      <c r="L3" s="36"/>
      <c r="M3" s="32"/>
      <c r="N3" s="32"/>
      <c r="O3" s="32"/>
      <c r="P3" s="30"/>
      <c r="Q3" s="32"/>
      <c r="R3" s="32"/>
      <c r="S3" s="32"/>
      <c r="T3" s="32"/>
      <c r="U3" s="32"/>
      <c r="V3" s="29"/>
      <c r="W3" s="29"/>
    </row>
    <row x14ac:dyDescent="0.25" r="4" customHeight="1" ht="13.5">
      <c r="A4" s="27"/>
      <c r="B4" s="26"/>
      <c r="C4" s="27"/>
      <c r="D4" s="28"/>
      <c r="E4" s="29"/>
      <c r="F4" s="32"/>
      <c r="G4" s="30"/>
      <c r="H4" s="32"/>
      <c r="I4" s="32"/>
      <c r="J4" s="32"/>
      <c r="K4" s="32"/>
      <c r="L4" s="29"/>
      <c r="M4" s="29"/>
      <c r="N4" s="29"/>
      <c r="O4" s="29"/>
      <c r="P4" s="22"/>
      <c r="Q4" s="29"/>
      <c r="R4" s="29"/>
      <c r="S4" s="29"/>
      <c r="T4" s="29"/>
      <c r="U4" s="29"/>
      <c r="V4" s="29"/>
      <c r="W4" s="29"/>
    </row>
    <row x14ac:dyDescent="0.25" r="5" customHeight="1" ht="14.25">
      <c r="A5" s="37"/>
      <c r="B5" s="3"/>
      <c r="C5" s="27"/>
      <c r="D5" s="28"/>
      <c r="E5" s="38" t="s">
        <v>30</v>
      </c>
      <c r="F5" s="39"/>
      <c r="G5" s="40"/>
      <c r="H5" s="41" t="s">
        <v>54</v>
      </c>
      <c r="I5" s="42"/>
      <c r="J5" s="43" t="s">
        <v>32</v>
      </c>
      <c r="K5" s="39"/>
      <c r="L5" s="39"/>
      <c r="M5" s="42"/>
      <c r="N5" s="44" t="s">
        <v>33</v>
      </c>
      <c r="O5" s="39"/>
      <c r="P5" s="45"/>
      <c r="Q5" s="43" t="s">
        <v>34</v>
      </c>
      <c r="R5" s="46" t="s">
        <v>35</v>
      </c>
      <c r="S5" s="41" t="s">
        <v>36</v>
      </c>
      <c r="T5" s="39"/>
      <c r="U5" s="42"/>
      <c r="V5" s="47" t="s">
        <v>37</v>
      </c>
      <c r="W5" s="47" t="s">
        <v>38</v>
      </c>
    </row>
    <row x14ac:dyDescent="0.25" r="6" customHeight="1" ht="14.25">
      <c r="A6" s="27"/>
      <c r="B6" s="26"/>
      <c r="C6" s="27"/>
      <c r="D6" s="28"/>
      <c r="E6" s="48">
        <v>10</v>
      </c>
      <c r="F6" s="49">
        <v>100</v>
      </c>
      <c r="G6" s="50" t="s">
        <v>39</v>
      </c>
      <c r="H6" s="51">
        <v>10</v>
      </c>
      <c r="I6" s="52">
        <v>100</v>
      </c>
      <c r="J6" s="53" t="s">
        <v>40</v>
      </c>
      <c r="K6" s="54" t="s">
        <v>41</v>
      </c>
      <c r="L6" s="54" t="s">
        <v>42</v>
      </c>
      <c r="M6" s="55" t="s">
        <v>43</v>
      </c>
      <c r="N6" s="51">
        <v>36</v>
      </c>
      <c r="O6" s="54" t="s">
        <v>44</v>
      </c>
      <c r="P6" s="52">
        <v>60</v>
      </c>
      <c r="Q6" s="53" t="s">
        <v>45</v>
      </c>
      <c r="R6" s="55" t="s">
        <v>46</v>
      </c>
      <c r="S6" s="56" t="s">
        <v>47</v>
      </c>
      <c r="T6" s="57">
        <v>88.5</v>
      </c>
      <c r="U6" s="58" t="s">
        <v>48</v>
      </c>
      <c r="V6" s="59"/>
      <c r="W6" s="59"/>
    </row>
    <row x14ac:dyDescent="0.25" r="7" customHeight="1" ht="14.25">
      <c r="A7" s="60" t="s">
        <v>19</v>
      </c>
      <c r="B7" s="61" t="s">
        <v>22</v>
      </c>
      <c r="C7" s="61" t="s">
        <v>22</v>
      </c>
      <c r="D7" s="62" t="s">
        <v>23</v>
      </c>
      <c r="E7" s="63">
        <v>401101</v>
      </c>
      <c r="F7" s="64">
        <v>401103</v>
      </c>
      <c r="G7" s="65">
        <v>401106</v>
      </c>
      <c r="H7" s="66">
        <v>402101</v>
      </c>
      <c r="I7" s="67">
        <v>402103</v>
      </c>
      <c r="J7" s="68">
        <v>406110</v>
      </c>
      <c r="K7" s="69">
        <v>406120</v>
      </c>
      <c r="L7" s="70" t="s">
        <v>49</v>
      </c>
      <c r="M7" s="71" t="s">
        <v>50</v>
      </c>
      <c r="N7" s="72" t="s">
        <v>51</v>
      </c>
      <c r="O7" s="70" t="s">
        <v>52</v>
      </c>
      <c r="P7" s="67" t="s">
        <v>55</v>
      </c>
      <c r="Q7" s="68">
        <v>408101</v>
      </c>
      <c r="R7" s="71"/>
      <c r="S7" s="67">
        <v>415104</v>
      </c>
      <c r="T7" s="69">
        <v>415201</v>
      </c>
      <c r="U7" s="66">
        <v>415307</v>
      </c>
      <c r="V7" s="73"/>
      <c r="W7" s="73"/>
    </row>
    <row x14ac:dyDescent="0.25" r="8" customHeight="1" ht="17.25">
      <c r="A8" s="74" t="s">
        <v>56</v>
      </c>
      <c r="B8" s="74" t="s">
        <v>57</v>
      </c>
      <c r="C8" s="74" t="s">
        <v>58</v>
      </c>
      <c r="D8" s="75">
        <v>2024</v>
      </c>
      <c r="E8" s="76">
        <v>832.510009765625</v>
      </c>
      <c r="F8" s="29"/>
      <c r="G8" s="22"/>
      <c r="H8" s="76">
        <v>416.260009765625</v>
      </c>
      <c r="I8" s="29"/>
      <c r="J8" s="29"/>
      <c r="K8" s="29"/>
      <c r="L8" s="29"/>
      <c r="M8" s="76">
        <v>-51.6300010681152</v>
      </c>
      <c r="N8" s="29"/>
      <c r="O8" s="76">
        <v>1279.58000183105</v>
      </c>
      <c r="P8" s="22"/>
      <c r="Q8" s="29"/>
      <c r="R8" s="76">
        <v>-795.410020828247</v>
      </c>
      <c r="S8" s="29"/>
      <c r="T8" s="29"/>
      <c r="U8" s="29"/>
      <c r="V8" s="75">
        <v>675</v>
      </c>
      <c r="W8" s="76">
        <v>833.280029296875</v>
      </c>
    </row>
    <row x14ac:dyDescent="0.25" r="9" customHeight="1" ht="17.25">
      <c r="A9" s="74" t="s">
        <v>56</v>
      </c>
      <c r="B9" s="74" t="s">
        <v>57</v>
      </c>
      <c r="C9" s="74" t="s">
        <v>58</v>
      </c>
      <c r="D9" s="75">
        <v>2025</v>
      </c>
      <c r="E9" s="76">
        <v>4106.14013671875</v>
      </c>
      <c r="F9" s="29"/>
      <c r="G9" s="22"/>
      <c r="H9" s="76">
        <v>2053.07006835938</v>
      </c>
      <c r="I9" s="29"/>
      <c r="J9" s="29"/>
      <c r="K9" s="29"/>
      <c r="L9" s="75">
        <v>4680</v>
      </c>
      <c r="M9" s="29"/>
      <c r="N9" s="29"/>
      <c r="O9" s="75">
        <v>440</v>
      </c>
      <c r="P9" s="22"/>
      <c r="Q9" s="29"/>
      <c r="R9" s="75">
        <v>5520</v>
      </c>
      <c r="S9" s="29"/>
      <c r="T9" s="29"/>
      <c r="U9" s="29"/>
      <c r="V9" s="76">
        <v>4218.75</v>
      </c>
      <c r="W9" s="75">
        <v>448</v>
      </c>
    </row>
    <row x14ac:dyDescent="0.25" r="10" customHeight="1" ht="17.25">
      <c r="A10" s="74" t="s">
        <v>56</v>
      </c>
      <c r="B10" s="74" t="s">
        <v>57</v>
      </c>
      <c r="C10" s="74" t="s">
        <v>58</v>
      </c>
      <c r="D10" s="77" t="s">
        <v>59</v>
      </c>
      <c r="E10" s="78">
        <v>3.93</v>
      </c>
      <c r="F10" s="79" t="s">
        <v>60</v>
      </c>
      <c r="G10" s="77" t="s">
        <v>60</v>
      </c>
      <c r="H10" s="78">
        <v>3.93</v>
      </c>
      <c r="I10" s="79" t="s">
        <v>60</v>
      </c>
      <c r="J10" s="79" t="s">
        <v>60</v>
      </c>
      <c r="K10" s="79" t="s">
        <v>60</v>
      </c>
      <c r="L10" s="79" t="s">
        <v>60</v>
      </c>
      <c r="M10" s="78">
        <v>-1</v>
      </c>
      <c r="N10" s="79" t="s">
        <v>60</v>
      </c>
      <c r="O10" s="78">
        <v>-0.66</v>
      </c>
      <c r="P10" s="77" t="s">
        <v>60</v>
      </c>
      <c r="Q10" s="79" t="s">
        <v>60</v>
      </c>
      <c r="R10" s="78">
        <v>-7.94</v>
      </c>
      <c r="S10" s="79" t="s">
        <v>60</v>
      </c>
      <c r="T10" s="79" t="s">
        <v>60</v>
      </c>
      <c r="U10" s="79" t="s">
        <v>60</v>
      </c>
      <c r="V10" s="78">
        <v>5.25</v>
      </c>
      <c r="W10" s="78">
        <v>-0.46</v>
      </c>
    </row>
    <row x14ac:dyDescent="0.25" r="11" customHeight="1" ht="17.25">
      <c r="A11" s="74" t="s">
        <v>56</v>
      </c>
      <c r="B11" s="74" t="s">
        <v>61</v>
      </c>
      <c r="C11" s="74" t="s">
        <v>62</v>
      </c>
      <c r="D11" s="75">
        <v>2024</v>
      </c>
      <c r="E11" s="76">
        <v>184746.960571289</v>
      </c>
      <c r="F11" s="76">
        <v>141206.404418945</v>
      </c>
      <c r="G11" s="22"/>
      <c r="H11" s="76">
        <v>96112.4209594727</v>
      </c>
      <c r="I11" s="76">
        <v>78840.5158081055</v>
      </c>
      <c r="J11" s="75">
        <v>1340</v>
      </c>
      <c r="K11" s="75">
        <v>9880</v>
      </c>
      <c r="L11" s="76">
        <v>72044.1800537109</v>
      </c>
      <c r="M11" s="76">
        <v>5297.65994262695</v>
      </c>
      <c r="N11" s="76">
        <v>78211.0584411621</v>
      </c>
      <c r="O11" s="76">
        <v>158399.149047852</v>
      </c>
      <c r="P11" s="22"/>
      <c r="Q11" s="75">
        <v>9995</v>
      </c>
      <c r="R11" s="76">
        <v>72251.2096729279</v>
      </c>
      <c r="S11" s="75">
        <v>13500</v>
      </c>
      <c r="T11" s="76">
        <v>14171.6200866699</v>
      </c>
      <c r="U11" s="76">
        <v>32020.8200073242</v>
      </c>
      <c r="V11" s="76">
        <v>103896.25</v>
      </c>
      <c r="W11" s="76">
        <v>93729.0836791992</v>
      </c>
    </row>
    <row x14ac:dyDescent="0.25" r="12" customHeight="1" ht="17.25">
      <c r="A12" s="74" t="s">
        <v>56</v>
      </c>
      <c r="B12" s="74" t="s">
        <v>61</v>
      </c>
      <c r="C12" s="74" t="s">
        <v>62</v>
      </c>
      <c r="D12" s="75">
        <v>2025</v>
      </c>
      <c r="E12" s="76">
        <v>100425.1015625</v>
      </c>
      <c r="F12" s="76">
        <v>130538.71875</v>
      </c>
      <c r="G12" s="22"/>
      <c r="H12" s="76">
        <v>47958.44140625</v>
      </c>
      <c r="I12" s="76">
        <v>37528.1298828125</v>
      </c>
      <c r="J12" s="29"/>
      <c r="K12" s="75">
        <v>2600</v>
      </c>
      <c r="L12" s="75">
        <v>6786</v>
      </c>
      <c r="M12" s="76">
        <v>1015.27000427246</v>
      </c>
      <c r="N12" s="76">
        <v>10394.4598236084</v>
      </c>
      <c r="O12" s="76">
        <v>23555.2900876999</v>
      </c>
      <c r="P12" s="22"/>
      <c r="Q12" s="76">
        <v>157.25</v>
      </c>
      <c r="R12" s="76">
        <v>12435.5899047852</v>
      </c>
      <c r="S12" s="75">
        <v>4500</v>
      </c>
      <c r="T12" s="76">
        <v>10034.5595703125</v>
      </c>
      <c r="U12" s="76">
        <v>8566.66015625</v>
      </c>
      <c r="V12" s="76">
        <v>25256.25</v>
      </c>
      <c r="W12" s="76">
        <v>77965.5816345215</v>
      </c>
    </row>
    <row x14ac:dyDescent="0.25" r="13" customHeight="1" ht="17.25">
      <c r="A13" s="74" t="s">
        <v>56</v>
      </c>
      <c r="B13" s="74" t="s">
        <v>61</v>
      </c>
      <c r="C13" s="74" t="s">
        <v>62</v>
      </c>
      <c r="D13" s="77" t="s">
        <v>59</v>
      </c>
      <c r="E13" s="78">
        <v>-0.46</v>
      </c>
      <c r="F13" s="78">
        <v>-0.08</v>
      </c>
      <c r="G13" s="77" t="s">
        <v>60</v>
      </c>
      <c r="H13" s="78">
        <v>-0.5</v>
      </c>
      <c r="I13" s="78">
        <v>-0.52</v>
      </c>
      <c r="J13" s="78">
        <v>-1</v>
      </c>
      <c r="K13" s="78">
        <v>-0.74</v>
      </c>
      <c r="L13" s="78">
        <v>-0.91</v>
      </c>
      <c r="M13" s="78">
        <v>-0.81</v>
      </c>
      <c r="N13" s="78">
        <v>-0.87</v>
      </c>
      <c r="O13" s="78">
        <v>-0.85</v>
      </c>
      <c r="P13" s="77" t="s">
        <v>60</v>
      </c>
      <c r="Q13" s="78">
        <v>-0.98</v>
      </c>
      <c r="R13" s="78">
        <v>-0.83</v>
      </c>
      <c r="S13" s="78">
        <v>-0.67</v>
      </c>
      <c r="T13" s="78">
        <v>-0.29</v>
      </c>
      <c r="U13" s="78">
        <v>-0.73</v>
      </c>
      <c r="V13" s="78">
        <v>-0.76</v>
      </c>
      <c r="W13" s="78">
        <v>-0.17</v>
      </c>
    </row>
    <row x14ac:dyDescent="0.25" r="14" customHeight="1" ht="17.25">
      <c r="A14" s="74" t="s">
        <v>56</v>
      </c>
      <c r="B14" s="74" t="s">
        <v>63</v>
      </c>
      <c r="C14" s="74" t="s">
        <v>64</v>
      </c>
      <c r="D14" s="75">
        <v>2024</v>
      </c>
      <c r="E14" s="76">
        <v>139116.8125</v>
      </c>
      <c r="F14" s="76">
        <v>25908.05078125</v>
      </c>
      <c r="G14" s="22"/>
      <c r="H14" s="76">
        <v>68725.4296875</v>
      </c>
      <c r="I14" s="76">
        <v>14563.3701171875</v>
      </c>
      <c r="J14" s="29"/>
      <c r="K14" s="75">
        <v>6500</v>
      </c>
      <c r="L14" s="75">
        <v>59072</v>
      </c>
      <c r="M14" s="76">
        <v>3070.45997619629</v>
      </c>
      <c r="N14" s="76">
        <v>23965.5001068115</v>
      </c>
      <c r="O14" s="76">
        <v>12658.9799194336</v>
      </c>
      <c r="P14" s="22"/>
      <c r="Q14" s="75">
        <v>1480</v>
      </c>
      <c r="R14" s="76">
        <v>43479.5997314453</v>
      </c>
      <c r="S14" s="76">
        <v>5062.5</v>
      </c>
      <c r="T14" s="76">
        <v>13055.7596435547</v>
      </c>
      <c r="U14" s="29"/>
      <c r="V14" s="75">
        <v>74775</v>
      </c>
      <c r="W14" s="76">
        <v>18186.4092407227</v>
      </c>
    </row>
    <row x14ac:dyDescent="0.25" r="15" customHeight="1" ht="17.25">
      <c r="A15" s="74" t="s">
        <v>56</v>
      </c>
      <c r="B15" s="74" t="s">
        <v>63</v>
      </c>
      <c r="C15" s="74" t="s">
        <v>64</v>
      </c>
      <c r="D15" s="75">
        <v>2025</v>
      </c>
      <c r="E15" s="76">
        <v>8122.5</v>
      </c>
      <c r="F15" s="76">
        <v>5753.5</v>
      </c>
      <c r="G15" s="22"/>
      <c r="H15" s="29"/>
      <c r="I15" s="29"/>
      <c r="J15" s="29"/>
      <c r="K15" s="29"/>
      <c r="L15" s="29"/>
      <c r="M15" s="29"/>
      <c r="N15" s="29"/>
      <c r="O15" s="29"/>
      <c r="P15" s="22"/>
      <c r="Q15" s="75">
        <v>2220</v>
      </c>
      <c r="R15" s="75">
        <v>460</v>
      </c>
      <c r="S15" s="29"/>
      <c r="T15" s="76">
        <v>-916.669982910156</v>
      </c>
      <c r="U15" s="29"/>
      <c r="V15" s="29"/>
      <c r="W15" s="29"/>
    </row>
    <row x14ac:dyDescent="0.25" r="16" customHeight="1" ht="17.25">
      <c r="A16" s="74" t="s">
        <v>56</v>
      </c>
      <c r="B16" s="74" t="s">
        <v>63</v>
      </c>
      <c r="C16" s="74" t="s">
        <v>64</v>
      </c>
      <c r="D16" s="77" t="s">
        <v>59</v>
      </c>
      <c r="E16" s="78">
        <v>-0.94</v>
      </c>
      <c r="F16" s="78">
        <v>-0.78</v>
      </c>
      <c r="G16" s="77" t="s">
        <v>60</v>
      </c>
      <c r="H16" s="78">
        <v>-1</v>
      </c>
      <c r="I16" s="78">
        <v>-1</v>
      </c>
      <c r="J16" s="79" t="s">
        <v>60</v>
      </c>
      <c r="K16" s="78">
        <v>-1</v>
      </c>
      <c r="L16" s="78">
        <v>-1</v>
      </c>
      <c r="M16" s="78">
        <v>-1</v>
      </c>
      <c r="N16" s="78">
        <v>-1</v>
      </c>
      <c r="O16" s="78">
        <v>-1</v>
      </c>
      <c r="P16" s="77" t="s">
        <v>60</v>
      </c>
      <c r="Q16" s="78">
        <v>0.5</v>
      </c>
      <c r="R16" s="78">
        <v>-0.99</v>
      </c>
      <c r="S16" s="78">
        <v>-1</v>
      </c>
      <c r="T16" s="78">
        <v>-1.07</v>
      </c>
      <c r="U16" s="79" t="s">
        <v>60</v>
      </c>
      <c r="V16" s="78">
        <v>-1</v>
      </c>
      <c r="W16" s="78">
        <v>-1</v>
      </c>
    </row>
    <row x14ac:dyDescent="0.25" r="17" customHeight="1" ht="17.25">
      <c r="A17" s="74" t="s">
        <v>56</v>
      </c>
      <c r="B17" s="74" t="s">
        <v>65</v>
      </c>
      <c r="C17" s="74" t="s">
        <v>65</v>
      </c>
      <c r="D17" s="75">
        <v>2024</v>
      </c>
      <c r="E17" s="76">
        <v>10.2600002288818</v>
      </c>
      <c r="F17" s="76">
        <v>11830.25</v>
      </c>
      <c r="G17" s="22"/>
      <c r="H17" s="76">
        <v>5.13000011444092</v>
      </c>
      <c r="I17" s="76">
        <v>7102.22990226746</v>
      </c>
      <c r="J17" s="29"/>
      <c r="K17" s="29"/>
      <c r="L17" s="29"/>
      <c r="M17" s="29"/>
      <c r="N17" s="76">
        <v>23827.7397460938</v>
      </c>
      <c r="O17" s="76">
        <v>7.57999992370605</v>
      </c>
      <c r="P17" s="22"/>
      <c r="Q17" s="29"/>
      <c r="R17" s="76">
        <v>84.7099981307983</v>
      </c>
      <c r="S17" s="29"/>
      <c r="T17" s="29"/>
      <c r="U17" s="29"/>
      <c r="V17" s="29"/>
      <c r="W17" s="76">
        <v>11.3799995183945</v>
      </c>
    </row>
    <row x14ac:dyDescent="0.25" r="18" customHeight="1" ht="17.25">
      <c r="A18" s="74" t="s">
        <v>56</v>
      </c>
      <c r="B18" s="74" t="s">
        <v>65</v>
      </c>
      <c r="C18" s="74" t="s">
        <v>65</v>
      </c>
      <c r="D18" s="75">
        <v>2025</v>
      </c>
      <c r="E18" s="29"/>
      <c r="F18" s="76">
        <v>22.75</v>
      </c>
      <c r="G18" s="22"/>
      <c r="H18" s="29"/>
      <c r="I18" s="76">
        <v>22.75</v>
      </c>
      <c r="J18" s="29"/>
      <c r="K18" s="29"/>
      <c r="L18" s="29"/>
      <c r="M18" s="29"/>
      <c r="N18" s="76">
        <v>10000.5</v>
      </c>
      <c r="O18" s="29"/>
      <c r="P18" s="22"/>
      <c r="Q18" s="29"/>
      <c r="R18" s="76">
        <v>21.1799998283386</v>
      </c>
      <c r="S18" s="29"/>
      <c r="T18" s="29"/>
      <c r="U18" s="29"/>
      <c r="V18" s="29"/>
      <c r="W18" s="29"/>
    </row>
    <row x14ac:dyDescent="0.25" r="19" customHeight="1" ht="17.25">
      <c r="A19" s="74" t="s">
        <v>56</v>
      </c>
      <c r="B19" s="74" t="s">
        <v>65</v>
      </c>
      <c r="C19" s="74" t="s">
        <v>65</v>
      </c>
      <c r="D19" s="77" t="s">
        <v>59</v>
      </c>
      <c r="E19" s="78">
        <v>-1</v>
      </c>
      <c r="F19" s="78">
        <v>-1</v>
      </c>
      <c r="G19" s="77" t="s">
        <v>60</v>
      </c>
      <c r="H19" s="78">
        <v>-1</v>
      </c>
      <c r="I19" s="78">
        <v>-1</v>
      </c>
      <c r="J19" s="79" t="s">
        <v>60</v>
      </c>
      <c r="K19" s="79" t="s">
        <v>60</v>
      </c>
      <c r="L19" s="79" t="s">
        <v>60</v>
      </c>
      <c r="M19" s="79" t="s">
        <v>60</v>
      </c>
      <c r="N19" s="78">
        <v>-0.58</v>
      </c>
      <c r="O19" s="78">
        <v>-1</v>
      </c>
      <c r="P19" s="77" t="s">
        <v>60</v>
      </c>
      <c r="Q19" s="79" t="s">
        <v>60</v>
      </c>
      <c r="R19" s="78">
        <v>-0.75</v>
      </c>
      <c r="S19" s="79" t="s">
        <v>60</v>
      </c>
      <c r="T19" s="79" t="s">
        <v>60</v>
      </c>
      <c r="U19" s="79" t="s">
        <v>60</v>
      </c>
      <c r="V19" s="79" t="s">
        <v>60</v>
      </c>
      <c r="W19" s="78">
        <v>-1</v>
      </c>
    </row>
    <row x14ac:dyDescent="0.25" r="20" customHeight="1" ht="17.25">
      <c r="A20" s="74" t="s">
        <v>56</v>
      </c>
      <c r="B20" s="74" t="s">
        <v>72</v>
      </c>
      <c r="C20" s="74" t="s">
        <v>73</v>
      </c>
      <c r="D20" s="75">
        <v>2024</v>
      </c>
      <c r="E20" s="76">
        <v>12530.5498046875</v>
      </c>
      <c r="F20" s="76">
        <v>15961.2099609375</v>
      </c>
      <c r="G20" s="22"/>
      <c r="H20" s="76">
        <v>7685.14013671875</v>
      </c>
      <c r="I20" s="76">
        <v>6742.01989746094</v>
      </c>
      <c r="J20" s="76">
        <v>34.5800018310547</v>
      </c>
      <c r="K20" s="76">
        <v>717.539978027344</v>
      </c>
      <c r="L20" s="76">
        <v>3926.6999206543</v>
      </c>
      <c r="M20" s="76">
        <v>2408.71000671387</v>
      </c>
      <c r="N20" s="76">
        <v>755.620006561279</v>
      </c>
      <c r="O20" s="76">
        <v>33337.2596740723</v>
      </c>
      <c r="P20" s="22"/>
      <c r="Q20" s="76">
        <v>679.25</v>
      </c>
      <c r="R20" s="76">
        <v>8257.68985176086</v>
      </c>
      <c r="S20" s="76">
        <v>458.359985351563</v>
      </c>
      <c r="T20" s="76">
        <v>1958.30000305176</v>
      </c>
      <c r="U20" s="76">
        <v>4063.65997314453</v>
      </c>
      <c r="V20" s="76">
        <v>6865.68017578125</v>
      </c>
      <c r="W20" s="76">
        <v>6653.49011230469</v>
      </c>
    </row>
    <row x14ac:dyDescent="0.25" r="21" customHeight="1" ht="17.25">
      <c r="A21" s="74" t="s">
        <v>56</v>
      </c>
      <c r="B21" s="74" t="s">
        <v>72</v>
      </c>
      <c r="C21" s="74" t="s">
        <v>74</v>
      </c>
      <c r="D21" s="75">
        <v>2025</v>
      </c>
      <c r="E21" s="76">
        <v>1672.02001953125</v>
      </c>
      <c r="F21" s="76">
        <v>1411.41003417969</v>
      </c>
      <c r="G21" s="22"/>
      <c r="H21" s="76">
        <v>900.239990234375</v>
      </c>
      <c r="I21" s="76">
        <v>791.159973144531</v>
      </c>
      <c r="J21" s="76">
        <v>34.1699981689453</v>
      </c>
      <c r="K21" s="76">
        <v>34.1699981689453</v>
      </c>
      <c r="L21" s="76">
        <v>785.370018005371</v>
      </c>
      <c r="M21" s="76">
        <v>107.619999885559</v>
      </c>
      <c r="N21" s="76">
        <v>380.839996337891</v>
      </c>
      <c r="O21" s="76">
        <v>3407.07006835938</v>
      </c>
      <c r="P21" s="22"/>
      <c r="Q21" s="76">
        <v>136.5</v>
      </c>
      <c r="R21" s="76">
        <v>978.090007781982</v>
      </c>
      <c r="S21" s="29"/>
      <c r="T21" s="76">
        <v>282.5</v>
      </c>
      <c r="U21" s="76">
        <v>413.669998168945</v>
      </c>
      <c r="V21" s="76">
        <v>1369.32995605469</v>
      </c>
      <c r="W21" s="75">
        <v>6045</v>
      </c>
    </row>
    <row x14ac:dyDescent="0.25" r="22" customHeight="1" ht="17.25">
      <c r="A22" s="74" t="s">
        <v>56</v>
      </c>
      <c r="B22" s="74" t="s">
        <v>72</v>
      </c>
      <c r="C22" s="74" t="s">
        <v>74</v>
      </c>
      <c r="D22" s="77" t="s">
        <v>59</v>
      </c>
      <c r="E22" s="78">
        <v>-0.87</v>
      </c>
      <c r="F22" s="78">
        <v>-0.91</v>
      </c>
      <c r="G22" s="77" t="s">
        <v>60</v>
      </c>
      <c r="H22" s="78">
        <v>-0.88</v>
      </c>
      <c r="I22" s="78">
        <v>-0.88</v>
      </c>
      <c r="J22" s="78">
        <v>-0.01</v>
      </c>
      <c r="K22" s="78">
        <v>-0.95</v>
      </c>
      <c r="L22" s="78">
        <v>-0.8</v>
      </c>
      <c r="M22" s="78">
        <v>-0.96</v>
      </c>
      <c r="N22" s="78">
        <v>-0.5</v>
      </c>
      <c r="O22" s="78">
        <v>-0.9</v>
      </c>
      <c r="P22" s="77" t="s">
        <v>60</v>
      </c>
      <c r="Q22" s="78">
        <v>-0.8</v>
      </c>
      <c r="R22" s="78">
        <v>-0.88</v>
      </c>
      <c r="S22" s="78">
        <v>-1</v>
      </c>
      <c r="T22" s="78">
        <v>-0.86</v>
      </c>
      <c r="U22" s="78">
        <v>-0.9</v>
      </c>
      <c r="V22" s="78">
        <v>-0.8</v>
      </c>
      <c r="W22" s="78">
        <v>-0.09</v>
      </c>
    </row>
    <row x14ac:dyDescent="0.25" r="23" customHeight="1" ht="17.25">
      <c r="A23" s="74" t="s">
        <v>56</v>
      </c>
      <c r="B23" s="74" t="s">
        <v>75</v>
      </c>
      <c r="C23" s="74" t="s">
        <v>76</v>
      </c>
      <c r="D23" s="75">
        <v>2024</v>
      </c>
      <c r="E23" s="29"/>
      <c r="F23" s="29"/>
      <c r="G23" s="22"/>
      <c r="H23" s="29"/>
      <c r="I23" s="75">
        <v>175</v>
      </c>
      <c r="J23" s="29"/>
      <c r="K23" s="29"/>
      <c r="L23" s="76">
        <v>108.339996337891</v>
      </c>
      <c r="M23" s="29"/>
      <c r="N23" s="29"/>
      <c r="O23" s="29"/>
      <c r="P23" s="22"/>
      <c r="Q23" s="29"/>
      <c r="R23" s="76">
        <v>221.820007324219</v>
      </c>
      <c r="S23" s="29"/>
      <c r="T23" s="29"/>
      <c r="U23" s="29"/>
      <c r="V23" s="76">
        <v>153.75</v>
      </c>
      <c r="W23" s="29"/>
    </row>
    <row x14ac:dyDescent="0.25" r="24" customHeight="1" ht="17.25">
      <c r="A24" s="74" t="s">
        <v>56</v>
      </c>
      <c r="B24" s="74" t="s">
        <v>75</v>
      </c>
      <c r="C24" s="74" t="s">
        <v>76</v>
      </c>
      <c r="D24" s="75">
        <v>2025</v>
      </c>
      <c r="E24" s="76">
        <v>1175.0400390625</v>
      </c>
      <c r="F24" s="76">
        <v>1456.56005859375</v>
      </c>
      <c r="G24" s="22"/>
      <c r="H24" s="76">
        <v>516.080017089844</v>
      </c>
      <c r="I24" s="76">
        <v>1227.2099609375</v>
      </c>
      <c r="J24" s="76">
        <v>34.1699981689453</v>
      </c>
      <c r="K24" s="76">
        <v>68.3399963378906</v>
      </c>
      <c r="L24" s="76">
        <v>379.119995117188</v>
      </c>
      <c r="M24" s="75">
        <v>42</v>
      </c>
      <c r="N24" s="76">
        <v>421.669998168945</v>
      </c>
      <c r="O24" s="76">
        <v>2083.21999871731</v>
      </c>
      <c r="P24" s="22"/>
      <c r="Q24" s="76">
        <v>198.25</v>
      </c>
      <c r="R24" s="76">
        <v>564.669982910156</v>
      </c>
      <c r="S24" s="76">
        <v>68.75</v>
      </c>
      <c r="T24" s="76">
        <v>125.839998245239</v>
      </c>
      <c r="U24" s="75">
        <v>418</v>
      </c>
      <c r="V24" s="29"/>
      <c r="W24" s="75">
        <v>130</v>
      </c>
    </row>
    <row x14ac:dyDescent="0.25" r="25" customHeight="1" ht="17.25">
      <c r="A25" s="74" t="s">
        <v>56</v>
      </c>
      <c r="B25" s="74" t="s">
        <v>75</v>
      </c>
      <c r="C25" s="74" t="s">
        <v>76</v>
      </c>
      <c r="D25" s="77" t="s">
        <v>59</v>
      </c>
      <c r="E25" s="79" t="s">
        <v>60</v>
      </c>
      <c r="F25" s="79" t="s">
        <v>60</v>
      </c>
      <c r="G25" s="77" t="s">
        <v>60</v>
      </c>
      <c r="H25" s="79" t="s">
        <v>60</v>
      </c>
      <c r="I25" s="78">
        <v>6.01</v>
      </c>
      <c r="J25" s="79" t="s">
        <v>60</v>
      </c>
      <c r="K25" s="79" t="s">
        <v>60</v>
      </c>
      <c r="L25" s="78">
        <v>2.5</v>
      </c>
      <c r="M25" s="79" t="s">
        <v>60</v>
      </c>
      <c r="N25" s="79" t="s">
        <v>60</v>
      </c>
      <c r="O25" s="79" t="s">
        <v>60</v>
      </c>
      <c r="P25" s="77" t="s">
        <v>60</v>
      </c>
      <c r="Q25" s="79" t="s">
        <v>60</v>
      </c>
      <c r="R25" s="78">
        <v>1.55</v>
      </c>
      <c r="S25" s="79" t="s">
        <v>60</v>
      </c>
      <c r="T25" s="79" t="s">
        <v>60</v>
      </c>
      <c r="U25" s="79" t="s">
        <v>60</v>
      </c>
      <c r="V25" s="78">
        <v>-1</v>
      </c>
      <c r="W25" s="79" t="s">
        <v>60</v>
      </c>
    </row>
    <row x14ac:dyDescent="0.25" r="26" customHeight="1" ht="17.25">
      <c r="A26" s="74" t="s">
        <v>56</v>
      </c>
      <c r="B26" s="74" t="s">
        <v>78</v>
      </c>
      <c r="C26" s="74" t="s">
        <v>79</v>
      </c>
      <c r="D26" s="75">
        <v>2024</v>
      </c>
      <c r="E26" s="76">
        <v>18080.779296875</v>
      </c>
      <c r="F26" s="76">
        <v>13097.7998046875</v>
      </c>
      <c r="G26" s="22"/>
      <c r="H26" s="76">
        <v>10102.240234375</v>
      </c>
      <c r="I26" s="76">
        <v>8259.38989257813</v>
      </c>
      <c r="J26" s="76">
        <v>-34.5800018310547</v>
      </c>
      <c r="K26" s="76">
        <v>820.059997558594</v>
      </c>
      <c r="L26" s="76">
        <v>4603.66998291016</v>
      </c>
      <c r="M26" s="76">
        <v>1967.57998657227</v>
      </c>
      <c r="N26" s="76">
        <v>752.320022583008</v>
      </c>
      <c r="O26" s="76">
        <v>52512.1891479492</v>
      </c>
      <c r="P26" s="22"/>
      <c r="Q26" s="76">
        <v>1803.75</v>
      </c>
      <c r="R26" s="76">
        <v>11232.5901947021</v>
      </c>
      <c r="S26" s="76">
        <v>572.960021972656</v>
      </c>
      <c r="T26" s="76">
        <v>1474.14999389648</v>
      </c>
      <c r="U26" s="75">
        <v>2277</v>
      </c>
      <c r="V26" s="76">
        <v>10364.919921875</v>
      </c>
      <c r="W26" s="76">
        <v>4612.59991455078</v>
      </c>
    </row>
    <row x14ac:dyDescent="0.25" r="27" customHeight="1" ht="17.25">
      <c r="A27" s="74" t="s">
        <v>56</v>
      </c>
      <c r="B27" s="74" t="s">
        <v>78</v>
      </c>
      <c r="C27" s="74" t="s">
        <v>79</v>
      </c>
      <c r="D27" s="75">
        <v>2025</v>
      </c>
      <c r="E27" s="76">
        <v>6123.60986328125</v>
      </c>
      <c r="F27" s="76">
        <v>5697.97021484375</v>
      </c>
      <c r="G27" s="22"/>
      <c r="H27" s="76">
        <v>3655.21997070313</v>
      </c>
      <c r="I27" s="76">
        <v>2494.71005249023</v>
      </c>
      <c r="J27" s="76">
        <v>34.1699981689453</v>
      </c>
      <c r="K27" s="76">
        <v>410.040008544922</v>
      </c>
      <c r="L27" s="76">
        <v>1814.43998718262</v>
      </c>
      <c r="M27" s="76">
        <v>186.409996032715</v>
      </c>
      <c r="N27" s="75">
        <v>-92</v>
      </c>
      <c r="O27" s="76">
        <v>14432.1402511597</v>
      </c>
      <c r="P27" s="22"/>
      <c r="Q27" s="76">
        <v>620.75</v>
      </c>
      <c r="R27" s="76">
        <v>2329.25998687744</v>
      </c>
      <c r="S27" s="76">
        <v>160.419998168945</v>
      </c>
      <c r="T27" s="76">
        <v>424.589988708496</v>
      </c>
      <c r="U27" s="75">
        <v>1232</v>
      </c>
      <c r="V27" s="76">
        <v>1770.91003417969</v>
      </c>
      <c r="W27" s="75">
        <v>520</v>
      </c>
    </row>
    <row x14ac:dyDescent="0.25" r="28" customHeight="1" ht="17.25">
      <c r="A28" s="74" t="s">
        <v>56</v>
      </c>
      <c r="B28" s="74" t="s">
        <v>78</v>
      </c>
      <c r="C28" s="74" t="s">
        <v>79</v>
      </c>
      <c r="D28" s="77" t="s">
        <v>59</v>
      </c>
      <c r="E28" s="78">
        <v>-0.66</v>
      </c>
      <c r="F28" s="78">
        <v>-0.56</v>
      </c>
      <c r="G28" s="77" t="s">
        <v>60</v>
      </c>
      <c r="H28" s="78">
        <v>-0.64</v>
      </c>
      <c r="I28" s="78">
        <v>-0.7</v>
      </c>
      <c r="J28" s="78">
        <v>-1.99</v>
      </c>
      <c r="K28" s="78">
        <v>-0.5</v>
      </c>
      <c r="L28" s="78">
        <v>-0.61</v>
      </c>
      <c r="M28" s="78">
        <v>-0.91</v>
      </c>
      <c r="N28" s="78">
        <v>-1.12</v>
      </c>
      <c r="O28" s="78">
        <v>-0.73</v>
      </c>
      <c r="P28" s="77" t="s">
        <v>60</v>
      </c>
      <c r="Q28" s="78">
        <v>-0.66</v>
      </c>
      <c r="R28" s="78">
        <v>-0.79</v>
      </c>
      <c r="S28" s="78">
        <v>-0.72</v>
      </c>
      <c r="T28" s="78">
        <v>-0.71</v>
      </c>
      <c r="U28" s="78">
        <v>-0.46</v>
      </c>
      <c r="V28" s="78">
        <v>-0.83</v>
      </c>
      <c r="W28" s="78">
        <v>-0.89</v>
      </c>
    </row>
    <row x14ac:dyDescent="0.25" r="29" customHeight="1" ht="17.25">
      <c r="A29" s="74" t="s">
        <v>56</v>
      </c>
      <c r="B29" s="74" t="s">
        <v>81</v>
      </c>
      <c r="C29" s="74" t="s">
        <v>82</v>
      </c>
      <c r="D29" s="75">
        <v>2024</v>
      </c>
      <c r="E29" s="29"/>
      <c r="F29" s="29"/>
      <c r="G29" s="22"/>
      <c r="H29" s="29"/>
      <c r="I29" s="29"/>
      <c r="J29" s="29"/>
      <c r="K29" s="29"/>
      <c r="L29" s="29"/>
      <c r="M29" s="29"/>
      <c r="N29" s="29"/>
      <c r="O29" s="29"/>
      <c r="P29" s="22"/>
      <c r="Q29" s="29"/>
      <c r="R29" s="29"/>
      <c r="S29" s="29"/>
      <c r="T29" s="29"/>
      <c r="U29" s="29"/>
      <c r="V29" s="29"/>
      <c r="W29" s="29"/>
    </row>
    <row x14ac:dyDescent="0.25" r="30" customHeight="1" ht="17.25">
      <c r="A30" s="74" t="s">
        <v>56</v>
      </c>
      <c r="B30" s="74" t="s">
        <v>81</v>
      </c>
      <c r="C30" s="74" t="s">
        <v>82</v>
      </c>
      <c r="D30" s="75">
        <v>2025</v>
      </c>
      <c r="E30" s="29"/>
      <c r="F30" s="29"/>
      <c r="G30" s="22"/>
      <c r="H30" s="29"/>
      <c r="I30" s="29"/>
      <c r="J30" s="29"/>
      <c r="K30" s="29"/>
      <c r="L30" s="29"/>
      <c r="M30" s="29"/>
      <c r="N30" s="29"/>
      <c r="O30" s="29"/>
      <c r="P30" s="22"/>
      <c r="Q30" s="29"/>
      <c r="R30" s="29"/>
      <c r="S30" s="29"/>
      <c r="T30" s="29"/>
      <c r="U30" s="29"/>
      <c r="V30" s="29"/>
      <c r="W30" s="29"/>
    </row>
    <row x14ac:dyDescent="0.25" r="31" customHeight="1" ht="17.25">
      <c r="A31" s="74" t="s">
        <v>56</v>
      </c>
      <c r="B31" s="74" t="s">
        <v>81</v>
      </c>
      <c r="C31" s="74" t="s">
        <v>82</v>
      </c>
      <c r="D31" s="77" t="s">
        <v>59</v>
      </c>
      <c r="E31" s="79" t="s">
        <v>60</v>
      </c>
      <c r="F31" s="79" t="s">
        <v>60</v>
      </c>
      <c r="G31" s="77" t="s">
        <v>60</v>
      </c>
      <c r="H31" s="79" t="s">
        <v>60</v>
      </c>
      <c r="I31" s="79" t="s">
        <v>60</v>
      </c>
      <c r="J31" s="79" t="s">
        <v>60</v>
      </c>
      <c r="K31" s="79" t="s">
        <v>60</v>
      </c>
      <c r="L31" s="79" t="s">
        <v>60</v>
      </c>
      <c r="M31" s="79" t="s">
        <v>60</v>
      </c>
      <c r="N31" s="79" t="s">
        <v>60</v>
      </c>
      <c r="O31" s="79" t="s">
        <v>60</v>
      </c>
      <c r="P31" s="77" t="s">
        <v>60</v>
      </c>
      <c r="Q31" s="79" t="s">
        <v>60</v>
      </c>
      <c r="R31" s="79" t="s">
        <v>60</v>
      </c>
      <c r="S31" s="79" t="s">
        <v>60</v>
      </c>
      <c r="T31" s="79" t="s">
        <v>60</v>
      </c>
      <c r="U31" s="79" t="s">
        <v>60</v>
      </c>
      <c r="V31" s="79" t="s">
        <v>60</v>
      </c>
      <c r="W31" s="79" t="s">
        <v>60</v>
      </c>
    </row>
    <row x14ac:dyDescent="0.25" r="32" customHeight="1" ht="17.25">
      <c r="A32" s="74" t="s">
        <v>56</v>
      </c>
      <c r="B32" s="74" t="s">
        <v>85</v>
      </c>
      <c r="C32" s="74" t="s">
        <v>86</v>
      </c>
      <c r="D32" s="75">
        <v>2024</v>
      </c>
      <c r="E32" s="76">
        <v>8261.099609375</v>
      </c>
      <c r="F32" s="76">
        <v>4218.009765625</v>
      </c>
      <c r="G32" s="22"/>
      <c r="H32" s="76">
        <v>4917.85986328125</v>
      </c>
      <c r="I32" s="76">
        <v>3437.5400390625</v>
      </c>
      <c r="J32" s="29"/>
      <c r="K32" s="76">
        <v>410.029998779297</v>
      </c>
      <c r="L32" s="76">
        <v>3114.39004516602</v>
      </c>
      <c r="M32" s="76">
        <v>346.719999313354</v>
      </c>
      <c r="N32" s="76">
        <v>4136.40995788574</v>
      </c>
      <c r="O32" s="76">
        <v>20085.0003051758</v>
      </c>
      <c r="P32" s="22"/>
      <c r="Q32" s="75">
        <v>1365</v>
      </c>
      <c r="R32" s="76">
        <v>6845.87010192871</v>
      </c>
      <c r="S32" s="76">
        <v>137.5</v>
      </c>
      <c r="T32" s="76">
        <v>402.079986572266</v>
      </c>
      <c r="U32" s="29"/>
      <c r="V32" s="76">
        <v>4833.60009765625</v>
      </c>
      <c r="W32" s="76">
        <v>2899.18988037109</v>
      </c>
    </row>
    <row x14ac:dyDescent="0.25" r="33" customHeight="1" ht="17.25">
      <c r="A33" s="74" t="s">
        <v>56</v>
      </c>
      <c r="B33" s="74" t="s">
        <v>85</v>
      </c>
      <c r="C33" s="74" t="s">
        <v>86</v>
      </c>
      <c r="D33" s="75">
        <v>2025</v>
      </c>
      <c r="E33" s="76">
        <v>3964.57006835938</v>
      </c>
      <c r="F33" s="76">
        <v>2862.36010742188</v>
      </c>
      <c r="G33" s="22"/>
      <c r="H33" s="76">
        <v>2386.7099609375</v>
      </c>
      <c r="I33" s="76">
        <v>1117.15002441406</v>
      </c>
      <c r="J33" s="29"/>
      <c r="K33" s="76">
        <v>170.830001831055</v>
      </c>
      <c r="L33" s="76">
        <v>649.939987182617</v>
      </c>
      <c r="M33" s="76">
        <v>34.1800003051758</v>
      </c>
      <c r="N33" s="76">
        <v>350.839996337891</v>
      </c>
      <c r="O33" s="76">
        <v>1348.32004547119</v>
      </c>
      <c r="P33" s="22"/>
      <c r="Q33" s="76">
        <v>526.5</v>
      </c>
      <c r="R33" s="76">
        <v>1472.1199798584</v>
      </c>
      <c r="S33" s="76">
        <v>91.6800003051758</v>
      </c>
      <c r="T33" s="76">
        <v>78.7500019073486</v>
      </c>
      <c r="U33" s="29"/>
      <c r="V33" s="76">
        <v>3034.8798828125</v>
      </c>
      <c r="W33" s="75">
        <v>195</v>
      </c>
    </row>
    <row x14ac:dyDescent="0.25" r="34" customHeight="1" ht="17.25">
      <c r="A34" s="74" t="s">
        <v>56</v>
      </c>
      <c r="B34" s="74" t="s">
        <v>85</v>
      </c>
      <c r="C34" s="74" t="s">
        <v>86</v>
      </c>
      <c r="D34" s="77" t="s">
        <v>59</v>
      </c>
      <c r="E34" s="78">
        <v>-0.52</v>
      </c>
      <c r="F34" s="78">
        <v>-0.32</v>
      </c>
      <c r="G34" s="77" t="s">
        <v>60</v>
      </c>
      <c r="H34" s="78">
        <v>-0.51</v>
      </c>
      <c r="I34" s="78">
        <v>-0.68</v>
      </c>
      <c r="J34" s="79" t="s">
        <v>60</v>
      </c>
      <c r="K34" s="78">
        <v>-0.58</v>
      </c>
      <c r="L34" s="78">
        <v>-0.79</v>
      </c>
      <c r="M34" s="78">
        <v>-0.9</v>
      </c>
      <c r="N34" s="78">
        <v>-0.92</v>
      </c>
      <c r="O34" s="78">
        <v>-0.93</v>
      </c>
      <c r="P34" s="77" t="s">
        <v>60</v>
      </c>
      <c r="Q34" s="78">
        <v>-0.61</v>
      </c>
      <c r="R34" s="78">
        <v>-0.78</v>
      </c>
      <c r="S34" s="78">
        <v>-0.33</v>
      </c>
      <c r="T34" s="78">
        <v>-0.8</v>
      </c>
      <c r="U34" s="79" t="s">
        <v>60</v>
      </c>
      <c r="V34" s="78">
        <v>-0.37</v>
      </c>
      <c r="W34" s="78">
        <v>-0.93</v>
      </c>
    </row>
    <row x14ac:dyDescent="0.25" r="35" customHeight="1" ht="17.25">
      <c r="A35" s="74" t="s">
        <v>56</v>
      </c>
      <c r="B35" s="74" t="s">
        <v>87</v>
      </c>
      <c r="C35" s="74" t="s">
        <v>88</v>
      </c>
      <c r="D35" s="75">
        <v>2024</v>
      </c>
      <c r="E35" s="29"/>
      <c r="F35" s="29"/>
      <c r="G35" s="22"/>
      <c r="H35" s="29"/>
      <c r="I35" s="29"/>
      <c r="J35" s="29"/>
      <c r="K35" s="29"/>
      <c r="L35" s="29"/>
      <c r="M35" s="29"/>
      <c r="N35" s="29"/>
      <c r="O35" s="29"/>
      <c r="P35" s="22"/>
      <c r="Q35" s="29"/>
      <c r="R35" s="29"/>
      <c r="S35" s="29"/>
      <c r="T35" s="29"/>
      <c r="U35" s="29"/>
      <c r="V35" s="29"/>
      <c r="W35" s="29"/>
    </row>
    <row x14ac:dyDescent="0.25" r="36" customHeight="1" ht="17.25">
      <c r="A36" s="74" t="s">
        <v>56</v>
      </c>
      <c r="B36" s="74" t="s">
        <v>87</v>
      </c>
      <c r="C36" s="74" t="s">
        <v>89</v>
      </c>
      <c r="D36" s="75">
        <v>2025</v>
      </c>
      <c r="E36" s="76">
        <v>4216.31005859375</v>
      </c>
      <c r="F36" s="76">
        <v>6588.43017578125</v>
      </c>
      <c r="G36" s="22"/>
      <c r="H36" s="76">
        <v>2430.59008789063</v>
      </c>
      <c r="I36" s="76">
        <v>2141.18005371094</v>
      </c>
      <c r="J36" s="29"/>
      <c r="K36" s="29"/>
      <c r="L36" s="76">
        <v>812.439998626709</v>
      </c>
      <c r="M36" s="76">
        <v>78.7399997711182</v>
      </c>
      <c r="N36" s="29"/>
      <c r="O36" s="76">
        <v>-1050.51999664307</v>
      </c>
      <c r="P36" s="22"/>
      <c r="Q36" s="76">
        <v>685.75</v>
      </c>
      <c r="R36" s="76">
        <v>5747.37006568909</v>
      </c>
      <c r="S36" s="76">
        <v>252.089996337891</v>
      </c>
      <c r="T36" s="76">
        <v>3457.14990234375</v>
      </c>
      <c r="U36" s="75">
        <v>110</v>
      </c>
      <c r="V36" s="76">
        <v>1086.25</v>
      </c>
      <c r="W36" s="76">
        <v>594.589988708496</v>
      </c>
    </row>
    <row x14ac:dyDescent="0.25" r="37" customHeight="1" ht="17.25">
      <c r="A37" s="74" t="s">
        <v>56</v>
      </c>
      <c r="B37" s="74" t="s">
        <v>87</v>
      </c>
      <c r="C37" s="74" t="s">
        <v>89</v>
      </c>
      <c r="D37" s="77" t="s">
        <v>59</v>
      </c>
      <c r="E37" s="79" t="s">
        <v>60</v>
      </c>
      <c r="F37" s="79" t="s">
        <v>60</v>
      </c>
      <c r="G37" s="77" t="s">
        <v>60</v>
      </c>
      <c r="H37" s="79" t="s">
        <v>60</v>
      </c>
      <c r="I37" s="79" t="s">
        <v>60</v>
      </c>
      <c r="J37" s="79" t="s">
        <v>60</v>
      </c>
      <c r="K37" s="79" t="s">
        <v>60</v>
      </c>
      <c r="L37" s="79" t="s">
        <v>60</v>
      </c>
      <c r="M37" s="79" t="s">
        <v>60</v>
      </c>
      <c r="N37" s="79" t="s">
        <v>60</v>
      </c>
      <c r="O37" s="79" t="s">
        <v>60</v>
      </c>
      <c r="P37" s="77" t="s">
        <v>60</v>
      </c>
      <c r="Q37" s="79" t="s">
        <v>60</v>
      </c>
      <c r="R37" s="79" t="s">
        <v>60</v>
      </c>
      <c r="S37" s="79" t="s">
        <v>60</v>
      </c>
      <c r="T37" s="79" t="s">
        <v>60</v>
      </c>
      <c r="U37" s="79" t="s">
        <v>60</v>
      </c>
      <c r="V37" s="79" t="s">
        <v>60</v>
      </c>
      <c r="W37" s="79" t="s">
        <v>60</v>
      </c>
    </row>
    <row x14ac:dyDescent="0.25" r="38" customHeight="1" ht="17.25">
      <c r="A38" s="74" t="s">
        <v>56</v>
      </c>
      <c r="B38" s="74" t="s">
        <v>90</v>
      </c>
      <c r="C38" s="74" t="s">
        <v>91</v>
      </c>
      <c r="D38" s="75">
        <v>2024</v>
      </c>
      <c r="E38" s="76">
        <v>10166.7001953125</v>
      </c>
      <c r="F38" s="75">
        <v>4778</v>
      </c>
      <c r="G38" s="22"/>
      <c r="H38" s="76">
        <v>6238.169921875</v>
      </c>
      <c r="I38" s="76">
        <v>4470.89001464844</v>
      </c>
      <c r="J38" s="76">
        <v>69.1600036621094</v>
      </c>
      <c r="K38" s="76">
        <v>273.359985351563</v>
      </c>
      <c r="L38" s="76">
        <v>2762.26002502441</v>
      </c>
      <c r="M38" s="76">
        <v>1178.67000198364</v>
      </c>
      <c r="N38" s="76">
        <v>869.460021972656</v>
      </c>
      <c r="O38" s="76">
        <v>15472.4000549316</v>
      </c>
      <c r="P38" s="22"/>
      <c r="Q38" s="76">
        <v>682.5</v>
      </c>
      <c r="R38" s="76">
        <v>5051.74991607666</v>
      </c>
      <c r="S38" s="76">
        <v>206.259994506836</v>
      </c>
      <c r="T38" s="76">
        <v>3396.65991210938</v>
      </c>
      <c r="U38" s="75">
        <v>55</v>
      </c>
      <c r="V38" s="76">
        <v>7817.35986328125</v>
      </c>
      <c r="W38" s="76">
        <v>4307.33010864258</v>
      </c>
    </row>
    <row x14ac:dyDescent="0.25" r="39" customHeight="1" ht="17.25">
      <c r="A39" s="74" t="s">
        <v>56</v>
      </c>
      <c r="B39" s="74" t="s">
        <v>90</v>
      </c>
      <c r="C39" s="74" t="s">
        <v>91</v>
      </c>
      <c r="D39" s="75">
        <v>2025</v>
      </c>
      <c r="E39" s="76">
        <v>3185.28002929688</v>
      </c>
      <c r="F39" s="76">
        <v>1174.15002441406</v>
      </c>
      <c r="G39" s="22"/>
      <c r="H39" s="76">
        <v>1682.47998046875</v>
      </c>
      <c r="I39" s="76">
        <v>1032.73997497559</v>
      </c>
      <c r="J39" s="29"/>
      <c r="K39" s="76">
        <v>68.3399963378906</v>
      </c>
      <c r="L39" s="76">
        <v>1002.04997825623</v>
      </c>
      <c r="M39" s="76">
        <v>207.380000114441</v>
      </c>
      <c r="N39" s="76">
        <v>652.910003662109</v>
      </c>
      <c r="O39" s="76">
        <v>5497.91015434265</v>
      </c>
      <c r="P39" s="22"/>
      <c r="Q39" s="75">
        <v>325</v>
      </c>
      <c r="R39" s="76">
        <v>1320.92998886108</v>
      </c>
      <c r="S39" s="76">
        <v>22.9200000762939</v>
      </c>
      <c r="T39" s="76">
        <v>503.330001831055</v>
      </c>
      <c r="U39" s="29"/>
      <c r="V39" s="76">
        <v>2146.169921875</v>
      </c>
      <c r="W39" s="75">
        <v>5200</v>
      </c>
    </row>
    <row x14ac:dyDescent="0.25" r="40" customHeight="1" ht="17.25">
      <c r="A40" s="74" t="s">
        <v>56</v>
      </c>
      <c r="B40" s="74" t="s">
        <v>90</v>
      </c>
      <c r="C40" s="74" t="s">
        <v>91</v>
      </c>
      <c r="D40" s="77" t="s">
        <v>59</v>
      </c>
      <c r="E40" s="78">
        <v>-0.69</v>
      </c>
      <c r="F40" s="78">
        <v>-0.75</v>
      </c>
      <c r="G40" s="77" t="s">
        <v>60</v>
      </c>
      <c r="H40" s="78">
        <v>-0.73</v>
      </c>
      <c r="I40" s="78">
        <v>-0.77</v>
      </c>
      <c r="J40" s="78">
        <v>-1</v>
      </c>
      <c r="K40" s="78">
        <v>-0.75</v>
      </c>
      <c r="L40" s="78">
        <v>-0.64</v>
      </c>
      <c r="M40" s="78">
        <v>-0.82</v>
      </c>
      <c r="N40" s="78">
        <v>-0.25</v>
      </c>
      <c r="O40" s="78">
        <v>-0.64</v>
      </c>
      <c r="P40" s="77" t="s">
        <v>60</v>
      </c>
      <c r="Q40" s="78">
        <v>-0.52</v>
      </c>
      <c r="R40" s="78">
        <v>-0.74</v>
      </c>
      <c r="S40" s="78">
        <v>-0.89</v>
      </c>
      <c r="T40" s="78">
        <v>-0.85</v>
      </c>
      <c r="U40" s="78">
        <v>-1</v>
      </c>
      <c r="V40" s="78">
        <v>-0.73</v>
      </c>
      <c r="W40" s="78">
        <v>0.21</v>
      </c>
    </row>
    <row x14ac:dyDescent="0.25" r="41" customHeight="1" ht="17.25">
      <c r="A41" s="74" t="s">
        <v>56</v>
      </c>
      <c r="B41" s="74" t="s">
        <v>92</v>
      </c>
      <c r="C41" s="74" t="s">
        <v>93</v>
      </c>
      <c r="D41" s="75">
        <v>2024</v>
      </c>
      <c r="E41" s="76">
        <v>6565.68017578125</v>
      </c>
      <c r="F41" s="76">
        <v>2417.68994140625</v>
      </c>
      <c r="G41" s="22"/>
      <c r="H41" s="76">
        <v>2737.09008789063</v>
      </c>
      <c r="I41" s="76">
        <v>2663.93994140625</v>
      </c>
      <c r="J41" s="29"/>
      <c r="K41" s="76">
        <v>854.200012207031</v>
      </c>
      <c r="L41" s="76">
        <v>2897.74000549316</v>
      </c>
      <c r="M41" s="75">
        <v>1113</v>
      </c>
      <c r="N41" s="76">
        <v>419.279998779297</v>
      </c>
      <c r="O41" s="76">
        <v>7646.56002044678</v>
      </c>
      <c r="P41" s="22"/>
      <c r="Q41" s="76">
        <v>552.5</v>
      </c>
      <c r="R41" s="76">
        <v>4214.90007209778</v>
      </c>
      <c r="S41" s="76">
        <v>641.669982910156</v>
      </c>
      <c r="T41" s="76">
        <v>690.820024490356</v>
      </c>
      <c r="U41" s="76">
        <v>635.830001831055</v>
      </c>
      <c r="V41" s="76">
        <v>3467.61010742188</v>
      </c>
      <c r="W41" s="76">
        <v>3605.54992675781</v>
      </c>
    </row>
    <row x14ac:dyDescent="0.25" r="42" customHeight="1" ht="17.25">
      <c r="A42" s="74" t="s">
        <v>56</v>
      </c>
      <c r="B42" s="74" t="s">
        <v>92</v>
      </c>
      <c r="C42" s="74" t="s">
        <v>93</v>
      </c>
      <c r="D42" s="75">
        <v>2025</v>
      </c>
      <c r="E42" s="76">
        <v>1646.41003417969</v>
      </c>
      <c r="F42" s="76">
        <v>486.890014648438</v>
      </c>
      <c r="G42" s="22"/>
      <c r="H42" s="76">
        <v>797.570007324219</v>
      </c>
      <c r="I42" s="76">
        <v>924.470001220703</v>
      </c>
      <c r="J42" s="29"/>
      <c r="K42" s="76">
        <v>68.3399963378906</v>
      </c>
      <c r="L42" s="76">
        <v>541.630012512207</v>
      </c>
      <c r="M42" s="75">
        <v>42</v>
      </c>
      <c r="N42" s="76">
        <v>109.009996414185</v>
      </c>
      <c r="O42" s="75">
        <v>4030</v>
      </c>
      <c r="P42" s="22"/>
      <c r="Q42" s="76">
        <v>162.5</v>
      </c>
      <c r="R42" s="76">
        <v>937.75998878479</v>
      </c>
      <c r="S42" s="76">
        <v>68.75</v>
      </c>
      <c r="T42" s="76">
        <v>235.410003662109</v>
      </c>
      <c r="U42" s="75">
        <v>22</v>
      </c>
      <c r="V42" s="76">
        <v>197.5</v>
      </c>
      <c r="W42" s="75">
        <v>455</v>
      </c>
    </row>
    <row x14ac:dyDescent="0.25" r="43" customHeight="1" ht="17.25">
      <c r="A43" s="74" t="s">
        <v>56</v>
      </c>
      <c r="B43" s="74" t="s">
        <v>92</v>
      </c>
      <c r="C43" s="74" t="s">
        <v>93</v>
      </c>
      <c r="D43" s="77" t="s">
        <v>59</v>
      </c>
      <c r="E43" s="78">
        <v>-0.75</v>
      </c>
      <c r="F43" s="78">
        <v>-0.8</v>
      </c>
      <c r="G43" s="77" t="s">
        <v>60</v>
      </c>
      <c r="H43" s="78">
        <v>-0.71</v>
      </c>
      <c r="I43" s="78">
        <v>-0.65</v>
      </c>
      <c r="J43" s="79" t="s">
        <v>60</v>
      </c>
      <c r="K43" s="78">
        <v>-0.92</v>
      </c>
      <c r="L43" s="78">
        <v>-0.81</v>
      </c>
      <c r="M43" s="78">
        <v>-0.96</v>
      </c>
      <c r="N43" s="78">
        <v>-0.74</v>
      </c>
      <c r="O43" s="78">
        <v>-0.47</v>
      </c>
      <c r="P43" s="77" t="s">
        <v>60</v>
      </c>
      <c r="Q43" s="78">
        <v>-0.71</v>
      </c>
      <c r="R43" s="78">
        <v>-0.78</v>
      </c>
      <c r="S43" s="78">
        <v>-0.89</v>
      </c>
      <c r="T43" s="78">
        <v>-0.66</v>
      </c>
      <c r="U43" s="78">
        <v>-0.97</v>
      </c>
      <c r="V43" s="78">
        <v>-0.94</v>
      </c>
      <c r="W43" s="78">
        <v>-0.87</v>
      </c>
    </row>
    <row x14ac:dyDescent="0.25" r="44" customHeight="1" ht="17.25">
      <c r="A44" s="74" t="s">
        <v>56</v>
      </c>
      <c r="B44" s="74" t="s">
        <v>94</v>
      </c>
      <c r="C44" s="74" t="s">
        <v>95</v>
      </c>
      <c r="D44" s="75">
        <v>2024</v>
      </c>
      <c r="E44" s="76">
        <v>16760.189453125</v>
      </c>
      <c r="F44" s="76">
        <v>15061.6796875</v>
      </c>
      <c r="G44" s="22"/>
      <c r="H44" s="76">
        <v>10014.9599609375</v>
      </c>
      <c r="I44" s="76">
        <v>7437.57995605469</v>
      </c>
      <c r="J44" s="29"/>
      <c r="K44" s="76">
        <v>1195.86999511719</v>
      </c>
      <c r="L44" s="76">
        <v>6147.43005371094</v>
      </c>
      <c r="M44" s="76">
        <v>2685.4500579834</v>
      </c>
      <c r="N44" s="76">
        <v>2520.04000854492</v>
      </c>
      <c r="O44" s="76">
        <v>34949.6801319122</v>
      </c>
      <c r="P44" s="22"/>
      <c r="Q44" s="76">
        <v>1881.75</v>
      </c>
      <c r="R44" s="76">
        <v>10617.559879303</v>
      </c>
      <c r="S44" s="76">
        <v>435.470001220703</v>
      </c>
      <c r="T44" s="76">
        <v>924.989990234375</v>
      </c>
      <c r="U44" s="76">
        <v>3572.83000183105</v>
      </c>
      <c r="V44" s="76">
        <v>13072.419921875</v>
      </c>
      <c r="W44" s="76">
        <v>6360.5001449585</v>
      </c>
    </row>
    <row x14ac:dyDescent="0.25" r="45" customHeight="1" ht="17.25">
      <c r="A45" s="74" t="s">
        <v>56</v>
      </c>
      <c r="B45" s="74" t="s">
        <v>94</v>
      </c>
      <c r="C45" s="74" t="s">
        <v>95</v>
      </c>
      <c r="D45" s="75">
        <v>2025</v>
      </c>
      <c r="E45" s="76">
        <v>6385.2998046875</v>
      </c>
      <c r="F45" s="76">
        <v>5152.81005859375</v>
      </c>
      <c r="G45" s="22"/>
      <c r="H45" s="76">
        <v>3413.68994140625</v>
      </c>
      <c r="I45" s="76">
        <v>2767.40991210938</v>
      </c>
      <c r="J45" s="76">
        <v>34.1699981689453</v>
      </c>
      <c r="K45" s="76">
        <v>375.839996337891</v>
      </c>
      <c r="L45" s="76">
        <v>1435.26998901367</v>
      </c>
      <c r="M45" s="76">
        <v>173.280000686646</v>
      </c>
      <c r="N45" s="76">
        <v>525.000011444092</v>
      </c>
      <c r="O45" s="76">
        <v>12016.3200292587</v>
      </c>
      <c r="P45" s="22"/>
      <c r="Q45" s="75">
        <v>585</v>
      </c>
      <c r="R45" s="76">
        <v>5848.45994758606</v>
      </c>
      <c r="S45" s="76">
        <v>160.419998168945</v>
      </c>
      <c r="T45" s="76">
        <v>490.419998168945</v>
      </c>
      <c r="U45" s="75">
        <v>1122</v>
      </c>
      <c r="V45" s="76">
        <v>4424.009765625</v>
      </c>
      <c r="W45" s="76">
        <v>3412.10000610352</v>
      </c>
    </row>
    <row x14ac:dyDescent="0.25" r="46" customHeight="1" ht="17.25">
      <c r="A46" s="74" t="s">
        <v>56</v>
      </c>
      <c r="B46" s="74" t="s">
        <v>94</v>
      </c>
      <c r="C46" s="74" t="s">
        <v>95</v>
      </c>
      <c r="D46" s="77" t="s">
        <v>59</v>
      </c>
      <c r="E46" s="78">
        <v>-0.62</v>
      </c>
      <c r="F46" s="78">
        <v>-0.66</v>
      </c>
      <c r="G46" s="77" t="s">
        <v>60</v>
      </c>
      <c r="H46" s="78">
        <v>-0.66</v>
      </c>
      <c r="I46" s="78">
        <v>-0.63</v>
      </c>
      <c r="J46" s="79" t="s">
        <v>60</v>
      </c>
      <c r="K46" s="78">
        <v>-0.69</v>
      </c>
      <c r="L46" s="78">
        <v>-0.77</v>
      </c>
      <c r="M46" s="78">
        <v>-0.94</v>
      </c>
      <c r="N46" s="78">
        <v>-0.79</v>
      </c>
      <c r="O46" s="78">
        <v>-0.66</v>
      </c>
      <c r="P46" s="77" t="s">
        <v>60</v>
      </c>
      <c r="Q46" s="78">
        <v>-0.69</v>
      </c>
      <c r="R46" s="78">
        <v>-0.45</v>
      </c>
      <c r="S46" s="78">
        <v>-0.63</v>
      </c>
      <c r="T46" s="78">
        <v>-0.47</v>
      </c>
      <c r="U46" s="78">
        <v>-0.69</v>
      </c>
      <c r="V46" s="78">
        <v>-0.66</v>
      </c>
      <c r="W46" s="78">
        <v>-0.46</v>
      </c>
    </row>
    <row x14ac:dyDescent="0.25" r="47" customHeight="1" ht="17.25">
      <c r="A47" s="74" t="s">
        <v>56</v>
      </c>
      <c r="B47" s="74" t="s">
        <v>96</v>
      </c>
      <c r="C47" s="74" t="s">
        <v>97</v>
      </c>
      <c r="D47" s="75">
        <v>2024</v>
      </c>
      <c r="E47" s="29"/>
      <c r="F47" s="29"/>
      <c r="G47" s="22"/>
      <c r="H47" s="29"/>
      <c r="I47" s="29"/>
      <c r="J47" s="29"/>
      <c r="K47" s="29"/>
      <c r="L47" s="29"/>
      <c r="M47" s="29"/>
      <c r="N47" s="29"/>
      <c r="O47" s="29"/>
      <c r="P47" s="22"/>
      <c r="Q47" s="29"/>
      <c r="R47" s="29"/>
      <c r="S47" s="29"/>
      <c r="T47" s="29"/>
      <c r="U47" s="29"/>
      <c r="V47" s="29"/>
      <c r="W47" s="29"/>
    </row>
    <row x14ac:dyDescent="0.25" r="48" customHeight="1" ht="17.25">
      <c r="A48" s="74" t="s">
        <v>56</v>
      </c>
      <c r="B48" s="74" t="s">
        <v>96</v>
      </c>
      <c r="C48" s="74" t="s">
        <v>97</v>
      </c>
      <c r="D48" s="75">
        <v>2025</v>
      </c>
      <c r="E48" s="29"/>
      <c r="F48" s="29"/>
      <c r="G48" s="22"/>
      <c r="H48" s="29"/>
      <c r="I48" s="29"/>
      <c r="J48" s="29"/>
      <c r="K48" s="29"/>
      <c r="L48" s="29"/>
      <c r="M48" s="29"/>
      <c r="N48" s="29"/>
      <c r="O48" s="29"/>
      <c r="P48" s="22"/>
      <c r="Q48" s="29"/>
      <c r="R48" s="29"/>
      <c r="S48" s="29"/>
      <c r="T48" s="29"/>
      <c r="U48" s="29"/>
      <c r="V48" s="29"/>
      <c r="W48" s="29"/>
    </row>
    <row x14ac:dyDescent="0.25" r="49" customHeight="1" ht="17.25">
      <c r="A49" s="74" t="s">
        <v>56</v>
      </c>
      <c r="B49" s="74" t="s">
        <v>96</v>
      </c>
      <c r="C49" s="74" t="s">
        <v>97</v>
      </c>
      <c r="D49" s="77" t="s">
        <v>59</v>
      </c>
      <c r="E49" s="79" t="s">
        <v>60</v>
      </c>
      <c r="F49" s="79" t="s">
        <v>60</v>
      </c>
      <c r="G49" s="77" t="s">
        <v>60</v>
      </c>
      <c r="H49" s="79" t="s">
        <v>60</v>
      </c>
      <c r="I49" s="79" t="s">
        <v>60</v>
      </c>
      <c r="J49" s="79" t="s">
        <v>60</v>
      </c>
      <c r="K49" s="79" t="s">
        <v>60</v>
      </c>
      <c r="L49" s="79" t="s">
        <v>60</v>
      </c>
      <c r="M49" s="79" t="s">
        <v>60</v>
      </c>
      <c r="N49" s="79" t="s">
        <v>60</v>
      </c>
      <c r="O49" s="79" t="s">
        <v>60</v>
      </c>
      <c r="P49" s="77" t="s">
        <v>60</v>
      </c>
      <c r="Q49" s="79" t="s">
        <v>60</v>
      </c>
      <c r="R49" s="79" t="s">
        <v>60</v>
      </c>
      <c r="S49" s="79" t="s">
        <v>60</v>
      </c>
      <c r="T49" s="79" t="s">
        <v>60</v>
      </c>
      <c r="U49" s="79" t="s">
        <v>60</v>
      </c>
      <c r="V49" s="79" t="s">
        <v>60</v>
      </c>
      <c r="W49" s="79" t="s">
        <v>60</v>
      </c>
    </row>
    <row x14ac:dyDescent="0.25" r="50" customHeight="1" ht="17.25">
      <c r="A50" s="74" t="s">
        <v>56</v>
      </c>
      <c r="B50" s="74" t="s">
        <v>98</v>
      </c>
      <c r="C50" s="74" t="s">
        <v>99</v>
      </c>
      <c r="D50" s="75">
        <v>2024</v>
      </c>
      <c r="E50" s="76">
        <v>19145.369140625</v>
      </c>
      <c r="F50" s="76">
        <v>11702.75</v>
      </c>
      <c r="G50" s="22"/>
      <c r="H50" s="76">
        <v>9572.75</v>
      </c>
      <c r="I50" s="76">
        <v>9068.75</v>
      </c>
      <c r="J50" s="76">
        <v>34.5800018310547</v>
      </c>
      <c r="K50" s="76">
        <v>785.890014648438</v>
      </c>
      <c r="L50" s="76">
        <v>4359.95004272461</v>
      </c>
      <c r="M50" s="76">
        <v>2363.47996902466</v>
      </c>
      <c r="N50" s="76">
        <v>2970.42999267578</v>
      </c>
      <c r="O50" s="76">
        <v>41611.4799957275</v>
      </c>
      <c r="P50" s="22"/>
      <c r="Q50" s="76">
        <v>916.5</v>
      </c>
      <c r="R50" s="76">
        <v>13592.0601043701</v>
      </c>
      <c r="S50" s="76">
        <v>527.150024414063</v>
      </c>
      <c r="T50" s="76">
        <v>671.679992675781</v>
      </c>
      <c r="U50" s="76">
        <v>3137.5</v>
      </c>
      <c r="V50" s="76">
        <v>14936.3896484375</v>
      </c>
      <c r="W50" s="76">
        <v>5968.61982345581</v>
      </c>
    </row>
    <row x14ac:dyDescent="0.25" r="51" customHeight="1" ht="17.25">
      <c r="A51" s="74" t="s">
        <v>56</v>
      </c>
      <c r="B51" s="74" t="s">
        <v>98</v>
      </c>
      <c r="C51" s="74" t="s">
        <v>99</v>
      </c>
      <c r="D51" s="75">
        <v>2025</v>
      </c>
      <c r="E51" s="76">
        <v>6298.64990234375</v>
      </c>
      <c r="F51" s="76">
        <v>4709.83984375</v>
      </c>
      <c r="G51" s="22"/>
      <c r="H51" s="76">
        <v>3135.10009765625</v>
      </c>
      <c r="I51" s="76">
        <v>2120.64996337891</v>
      </c>
      <c r="J51" s="29"/>
      <c r="K51" s="76">
        <v>785.859985351563</v>
      </c>
      <c r="L51" s="76">
        <v>1651.90998840332</v>
      </c>
      <c r="M51" s="76">
        <v>356.989998817444</v>
      </c>
      <c r="N51" s="76">
        <v>1643.27001571655</v>
      </c>
      <c r="O51" s="76">
        <v>3553.32000732422</v>
      </c>
      <c r="P51" s="22"/>
      <c r="Q51" s="75">
        <v>364</v>
      </c>
      <c r="R51" s="76">
        <v>2873.89991378784</v>
      </c>
      <c r="S51" s="76">
        <v>229.190002441406</v>
      </c>
      <c r="T51" s="76">
        <v>251.670001983643</v>
      </c>
      <c r="U51" s="75">
        <v>627</v>
      </c>
      <c r="V51" s="76">
        <v>1119.17004394531</v>
      </c>
      <c r="W51" s="76">
        <v>6402.10000038147</v>
      </c>
    </row>
    <row x14ac:dyDescent="0.25" r="52" customHeight="1" ht="17.25">
      <c r="A52" s="74" t="s">
        <v>56</v>
      </c>
      <c r="B52" s="74" t="s">
        <v>98</v>
      </c>
      <c r="C52" s="74" t="s">
        <v>99</v>
      </c>
      <c r="D52" s="77" t="s">
        <v>59</v>
      </c>
      <c r="E52" s="78">
        <v>-0.67</v>
      </c>
      <c r="F52" s="78">
        <v>-0.6</v>
      </c>
      <c r="G52" s="77" t="s">
        <v>60</v>
      </c>
      <c r="H52" s="78">
        <v>-0.67</v>
      </c>
      <c r="I52" s="78">
        <v>-0.77</v>
      </c>
      <c r="J52" s="78">
        <v>-1</v>
      </c>
      <c r="K52" s="78">
        <v>0</v>
      </c>
      <c r="L52" s="78">
        <v>-0.62</v>
      </c>
      <c r="M52" s="78">
        <v>-0.85</v>
      </c>
      <c r="N52" s="78">
        <v>-0.45</v>
      </c>
      <c r="O52" s="78">
        <v>-0.91</v>
      </c>
      <c r="P52" s="77" t="s">
        <v>60</v>
      </c>
      <c r="Q52" s="78">
        <v>-0.6</v>
      </c>
      <c r="R52" s="78">
        <v>-0.79</v>
      </c>
      <c r="S52" s="78">
        <v>-0.57</v>
      </c>
      <c r="T52" s="78">
        <v>-0.63</v>
      </c>
      <c r="U52" s="78">
        <v>-0.8</v>
      </c>
      <c r="V52" s="78">
        <v>-0.93</v>
      </c>
      <c r="W52" s="78">
        <v>0.07</v>
      </c>
    </row>
    <row x14ac:dyDescent="0.25" r="53" customHeight="1" ht="17.25">
      <c r="A53" s="74" t="s">
        <v>56</v>
      </c>
      <c r="B53" s="74" t="s">
        <v>100</v>
      </c>
      <c r="C53" s="74" t="s">
        <v>101</v>
      </c>
      <c r="D53" s="75">
        <v>2024</v>
      </c>
      <c r="E53" s="76">
        <v>981.549987792969</v>
      </c>
      <c r="F53" s="76">
        <v>1059.61999511719</v>
      </c>
      <c r="G53" s="22"/>
      <c r="H53" s="76">
        <v>46.6399993896484</v>
      </c>
      <c r="I53" s="76">
        <v>673.789993286133</v>
      </c>
      <c r="J53" s="29"/>
      <c r="K53" s="29"/>
      <c r="L53" s="76">
        <v>487.470003128052</v>
      </c>
      <c r="M53" s="76">
        <v>136.510000228882</v>
      </c>
      <c r="N53" s="75">
        <v>185</v>
      </c>
      <c r="O53" s="76">
        <v>2004.20002365112</v>
      </c>
      <c r="P53" s="22"/>
      <c r="Q53" s="76">
        <v>227.5</v>
      </c>
      <c r="R53" s="76">
        <v>383.130001068115</v>
      </c>
      <c r="S53" s="29"/>
      <c r="T53" s="76">
        <v>63.3400001525879</v>
      </c>
      <c r="U53" s="75">
        <v>55</v>
      </c>
      <c r="V53" s="76">
        <v>713.429992675781</v>
      </c>
      <c r="W53" s="76">
        <v>304.850006103516</v>
      </c>
    </row>
    <row x14ac:dyDescent="0.25" r="54" customHeight="1" ht="17.25">
      <c r="A54" s="74" t="s">
        <v>56</v>
      </c>
      <c r="B54" s="74" t="s">
        <v>100</v>
      </c>
      <c r="C54" s="74" t="s">
        <v>101</v>
      </c>
      <c r="D54" s="75">
        <v>2025</v>
      </c>
      <c r="E54" s="29"/>
      <c r="F54" s="29"/>
      <c r="G54" s="22"/>
      <c r="H54" s="29"/>
      <c r="I54" s="29"/>
      <c r="J54" s="29"/>
      <c r="K54" s="29"/>
      <c r="L54" s="29"/>
      <c r="M54" s="29"/>
      <c r="N54" s="29"/>
      <c r="O54" s="29"/>
      <c r="P54" s="22"/>
      <c r="Q54" s="29"/>
      <c r="R54" s="29"/>
      <c r="S54" s="29"/>
      <c r="T54" s="29"/>
      <c r="U54" s="29"/>
      <c r="V54" s="29"/>
      <c r="W54" s="29"/>
    </row>
    <row x14ac:dyDescent="0.25" r="55" customHeight="1" ht="17.25">
      <c r="A55" s="74" t="s">
        <v>56</v>
      </c>
      <c r="B55" s="74" t="s">
        <v>100</v>
      </c>
      <c r="C55" s="74" t="s">
        <v>101</v>
      </c>
      <c r="D55" s="77" t="s">
        <v>59</v>
      </c>
      <c r="E55" s="78">
        <v>-1</v>
      </c>
      <c r="F55" s="78">
        <v>-1</v>
      </c>
      <c r="G55" s="77" t="s">
        <v>60</v>
      </c>
      <c r="H55" s="78">
        <v>-1</v>
      </c>
      <c r="I55" s="78">
        <v>-1</v>
      </c>
      <c r="J55" s="79" t="s">
        <v>60</v>
      </c>
      <c r="K55" s="79" t="s">
        <v>60</v>
      </c>
      <c r="L55" s="78">
        <v>-1</v>
      </c>
      <c r="M55" s="78">
        <v>-1</v>
      </c>
      <c r="N55" s="78">
        <v>-1</v>
      </c>
      <c r="O55" s="78">
        <v>-1</v>
      </c>
      <c r="P55" s="77" t="s">
        <v>60</v>
      </c>
      <c r="Q55" s="78">
        <v>-1</v>
      </c>
      <c r="R55" s="78">
        <v>-1</v>
      </c>
      <c r="S55" s="79" t="s">
        <v>60</v>
      </c>
      <c r="T55" s="78">
        <v>-1</v>
      </c>
      <c r="U55" s="78">
        <v>-1</v>
      </c>
      <c r="V55" s="78">
        <v>-1</v>
      </c>
      <c r="W55" s="78">
        <v>-1</v>
      </c>
    </row>
    <row x14ac:dyDescent="0.25" r="56" customHeight="1" ht="17.25">
      <c r="A56" s="74" t="s">
        <v>56</v>
      </c>
      <c r="B56" s="74" t="s">
        <v>102</v>
      </c>
      <c r="C56" s="74" t="s">
        <v>103</v>
      </c>
      <c r="D56" s="75">
        <v>2024</v>
      </c>
      <c r="E56" s="29"/>
      <c r="F56" s="29"/>
      <c r="G56" s="22"/>
      <c r="H56" s="29"/>
      <c r="I56" s="29"/>
      <c r="J56" s="29"/>
      <c r="K56" s="29"/>
      <c r="L56" s="29"/>
      <c r="M56" s="29"/>
      <c r="N56" s="29"/>
      <c r="O56" s="29"/>
      <c r="P56" s="22"/>
      <c r="Q56" s="29"/>
      <c r="R56" s="29"/>
      <c r="S56" s="29"/>
      <c r="T56" s="29"/>
      <c r="U56" s="29"/>
      <c r="V56" s="29"/>
      <c r="W56" s="29"/>
    </row>
    <row x14ac:dyDescent="0.25" r="57" customHeight="1" ht="17.25">
      <c r="A57" s="74" t="s">
        <v>56</v>
      </c>
      <c r="B57" s="74" t="s">
        <v>102</v>
      </c>
      <c r="C57" s="74" t="s">
        <v>103</v>
      </c>
      <c r="D57" s="75">
        <v>2025</v>
      </c>
      <c r="E57" s="29"/>
      <c r="F57" s="29"/>
      <c r="G57" s="22"/>
      <c r="H57" s="29"/>
      <c r="I57" s="29"/>
      <c r="J57" s="29"/>
      <c r="K57" s="29"/>
      <c r="L57" s="29"/>
      <c r="M57" s="29"/>
      <c r="N57" s="29"/>
      <c r="O57" s="29"/>
      <c r="P57" s="22"/>
      <c r="Q57" s="29"/>
      <c r="R57" s="29"/>
      <c r="S57" s="29"/>
      <c r="T57" s="29"/>
      <c r="U57" s="29"/>
      <c r="V57" s="29"/>
      <c r="W57" s="29"/>
    </row>
    <row x14ac:dyDescent="0.25" r="58" customHeight="1" ht="17.25">
      <c r="A58" s="74" t="s">
        <v>56</v>
      </c>
      <c r="B58" s="74" t="s">
        <v>102</v>
      </c>
      <c r="C58" s="74" t="s">
        <v>103</v>
      </c>
      <c r="D58" s="77" t="s">
        <v>59</v>
      </c>
      <c r="E58" s="79" t="s">
        <v>60</v>
      </c>
      <c r="F58" s="79" t="s">
        <v>60</v>
      </c>
      <c r="G58" s="77" t="s">
        <v>60</v>
      </c>
      <c r="H58" s="79" t="s">
        <v>60</v>
      </c>
      <c r="I58" s="79" t="s">
        <v>60</v>
      </c>
      <c r="J58" s="79" t="s">
        <v>60</v>
      </c>
      <c r="K58" s="79" t="s">
        <v>60</v>
      </c>
      <c r="L58" s="79" t="s">
        <v>60</v>
      </c>
      <c r="M58" s="79" t="s">
        <v>60</v>
      </c>
      <c r="N58" s="79" t="s">
        <v>60</v>
      </c>
      <c r="O58" s="79" t="s">
        <v>60</v>
      </c>
      <c r="P58" s="77" t="s">
        <v>60</v>
      </c>
      <c r="Q58" s="79" t="s">
        <v>60</v>
      </c>
      <c r="R58" s="79" t="s">
        <v>60</v>
      </c>
      <c r="S58" s="79" t="s">
        <v>60</v>
      </c>
      <c r="T58" s="79" t="s">
        <v>60</v>
      </c>
      <c r="U58" s="79" t="s">
        <v>60</v>
      </c>
      <c r="V58" s="79" t="s">
        <v>60</v>
      </c>
      <c r="W58" s="79" t="s">
        <v>60</v>
      </c>
    </row>
    <row x14ac:dyDescent="0.25" r="59" customHeight="1" ht="17.25">
      <c r="A59" s="74" t="s">
        <v>56</v>
      </c>
      <c r="B59" s="74" t="s">
        <v>105</v>
      </c>
      <c r="C59" s="74" t="s">
        <v>106</v>
      </c>
      <c r="D59" s="75">
        <v>2024</v>
      </c>
      <c r="E59" s="76">
        <v>24844.73046875</v>
      </c>
      <c r="F59" s="76">
        <v>13326.0595703125</v>
      </c>
      <c r="G59" s="22"/>
      <c r="H59" s="76">
        <v>12379.1904296875</v>
      </c>
      <c r="I59" s="76">
        <v>8460.31982421875</v>
      </c>
      <c r="J59" s="76">
        <v>138.320007324219</v>
      </c>
      <c r="K59" s="76">
        <v>785.880004882813</v>
      </c>
      <c r="L59" s="76">
        <v>6634.85992431641</v>
      </c>
      <c r="M59" s="76">
        <v>2142.33003234863</v>
      </c>
      <c r="N59" s="76">
        <v>10522.9200015068</v>
      </c>
      <c r="O59" s="76">
        <v>26837.1599578857</v>
      </c>
      <c r="P59" s="22"/>
      <c r="Q59" s="76">
        <v>1485.25</v>
      </c>
      <c r="R59" s="76">
        <v>9357.34020996094</v>
      </c>
      <c r="S59" s="76">
        <v>779.219970703125</v>
      </c>
      <c r="T59" s="76">
        <v>563.769989013672</v>
      </c>
      <c r="U59" s="75">
        <v>1331</v>
      </c>
      <c r="V59" s="76">
        <v>11568.990234375</v>
      </c>
      <c r="W59" s="76">
        <v>7221.35009765625</v>
      </c>
    </row>
    <row x14ac:dyDescent="0.25" r="60" customHeight="1" ht="17.25">
      <c r="A60" s="74" t="s">
        <v>56</v>
      </c>
      <c r="B60" s="74" t="s">
        <v>105</v>
      </c>
      <c r="C60" s="74" t="s">
        <v>106</v>
      </c>
      <c r="D60" s="75">
        <v>2025</v>
      </c>
      <c r="E60" s="76">
        <v>6863.1201171875</v>
      </c>
      <c r="F60" s="76">
        <v>3078.07006835938</v>
      </c>
      <c r="G60" s="22"/>
      <c r="H60" s="76">
        <v>3914.6201171875</v>
      </c>
      <c r="I60" s="76">
        <v>1118.38998413086</v>
      </c>
      <c r="J60" s="29"/>
      <c r="K60" s="76">
        <v>136.679992675781</v>
      </c>
      <c r="L60" s="76">
        <v>1895.68000793457</v>
      </c>
      <c r="M60" s="76">
        <v>551.530000686646</v>
      </c>
      <c r="N60" s="76">
        <v>454.189987182617</v>
      </c>
      <c r="O60" s="76">
        <v>5033.3200340271</v>
      </c>
      <c r="P60" s="22"/>
      <c r="Q60" s="76">
        <v>435.5</v>
      </c>
      <c r="R60" s="81">
        <v>8006.19004058838</v>
      </c>
      <c r="S60" s="76">
        <v>137.509994506836</v>
      </c>
      <c r="T60" s="76">
        <v>125.830003738403</v>
      </c>
      <c r="U60" s="75">
        <v>220</v>
      </c>
      <c r="V60" s="76">
        <v>3443.080078125</v>
      </c>
      <c r="W60" s="75">
        <v>715</v>
      </c>
    </row>
    <row x14ac:dyDescent="0.25" r="61" customHeight="1" ht="17.25">
      <c r="A61" s="74" t="s">
        <v>56</v>
      </c>
      <c r="B61" s="74" t="s">
        <v>105</v>
      </c>
      <c r="C61" s="74" t="s">
        <v>106</v>
      </c>
      <c r="D61" s="77" t="s">
        <v>59</v>
      </c>
      <c r="E61" s="78">
        <v>-0.72</v>
      </c>
      <c r="F61" s="78">
        <v>-0.77</v>
      </c>
      <c r="G61" s="77" t="s">
        <v>60</v>
      </c>
      <c r="H61" s="78">
        <v>-0.68</v>
      </c>
      <c r="I61" s="78">
        <v>-0.87</v>
      </c>
      <c r="J61" s="78">
        <v>-1</v>
      </c>
      <c r="K61" s="78">
        <v>-0.83</v>
      </c>
      <c r="L61" s="78">
        <v>-0.71</v>
      </c>
      <c r="M61" s="78">
        <v>-0.74</v>
      </c>
      <c r="N61" s="78">
        <v>-0.96</v>
      </c>
      <c r="O61" s="78">
        <v>-0.81</v>
      </c>
      <c r="P61" s="77" t="s">
        <v>60</v>
      </c>
      <c r="Q61" s="78">
        <v>-0.71</v>
      </c>
      <c r="R61" s="78">
        <v>-0.14</v>
      </c>
      <c r="S61" s="78">
        <v>-0.82</v>
      </c>
      <c r="T61" s="78">
        <v>-0.78</v>
      </c>
      <c r="U61" s="78">
        <v>-0.83</v>
      </c>
      <c r="V61" s="78">
        <v>-0.7</v>
      </c>
      <c r="W61" s="78">
        <v>-0.9</v>
      </c>
    </row>
    <row x14ac:dyDescent="0.25" r="62" customHeight="1" ht="17.25">
      <c r="A62" s="74" t="s">
        <v>56</v>
      </c>
      <c r="B62" s="74" t="s">
        <v>107</v>
      </c>
      <c r="C62" s="74" t="s">
        <v>108</v>
      </c>
      <c r="D62" s="75">
        <v>2024</v>
      </c>
      <c r="E62" s="76">
        <v>23123.369140625</v>
      </c>
      <c r="F62" s="76">
        <v>8595.41015625</v>
      </c>
      <c r="G62" s="22"/>
      <c r="H62" s="76">
        <v>12294.1904296875</v>
      </c>
      <c r="I62" s="76">
        <v>4566.69000244141</v>
      </c>
      <c r="J62" s="29"/>
      <c r="K62" s="76">
        <v>170.839996337891</v>
      </c>
      <c r="L62" s="76">
        <v>4847.60009765625</v>
      </c>
      <c r="M62" s="76">
        <v>716.650005340576</v>
      </c>
      <c r="N62" s="76">
        <v>3501.3500289917</v>
      </c>
      <c r="O62" s="76">
        <v>19935.2599010468</v>
      </c>
      <c r="P62" s="22"/>
      <c r="Q62" s="76">
        <v>1176.5</v>
      </c>
      <c r="R62" s="76">
        <v>7491.75982093811</v>
      </c>
      <c r="S62" s="76">
        <v>504.220001220703</v>
      </c>
      <c r="T62" s="76">
        <v>2084.59004211426</v>
      </c>
      <c r="U62" s="76">
        <v>1974.14001464844</v>
      </c>
      <c r="V62" s="76">
        <v>10823.9102325439</v>
      </c>
      <c r="W62" s="76">
        <v>3678.19995117188</v>
      </c>
    </row>
    <row x14ac:dyDescent="0.25" r="63" customHeight="1" ht="17.25">
      <c r="A63" s="74" t="s">
        <v>56</v>
      </c>
      <c r="B63" s="74" t="s">
        <v>107</v>
      </c>
      <c r="C63" s="74" t="s">
        <v>108</v>
      </c>
      <c r="D63" s="75">
        <v>2025</v>
      </c>
      <c r="E63" s="76">
        <v>10724.5302734375</v>
      </c>
      <c r="F63" s="76">
        <v>2216.330078125</v>
      </c>
      <c r="G63" s="22"/>
      <c r="H63" s="76">
        <v>5239.14990234375</v>
      </c>
      <c r="I63" s="76">
        <v>1695.65008544922</v>
      </c>
      <c r="J63" s="29"/>
      <c r="K63" s="76">
        <v>375.829986572266</v>
      </c>
      <c r="L63" s="76">
        <v>1299.91999816895</v>
      </c>
      <c r="M63" s="75">
        <v>462</v>
      </c>
      <c r="N63" s="76">
        <v>559.609998703003</v>
      </c>
      <c r="O63" s="76">
        <v>2204.71994400024</v>
      </c>
      <c r="P63" s="22"/>
      <c r="Q63" s="75">
        <v>520</v>
      </c>
      <c r="R63" s="76">
        <v>3539.31004714966</v>
      </c>
      <c r="S63" s="76">
        <v>45.8400001525879</v>
      </c>
      <c r="T63" s="76">
        <v>436.649993896484</v>
      </c>
      <c r="U63" s="76">
        <v>85.8300018310547</v>
      </c>
      <c r="V63" s="76">
        <v>1876.25</v>
      </c>
      <c r="W63" s="76">
        <v>1812.94999694824</v>
      </c>
    </row>
    <row x14ac:dyDescent="0.25" r="64" customHeight="1" ht="17.25">
      <c r="A64" s="74" t="s">
        <v>56</v>
      </c>
      <c r="B64" s="74" t="s">
        <v>107</v>
      </c>
      <c r="C64" s="74" t="s">
        <v>108</v>
      </c>
      <c r="D64" s="77" t="s">
        <v>59</v>
      </c>
      <c r="E64" s="78">
        <v>-0.54</v>
      </c>
      <c r="F64" s="78">
        <v>-0.74</v>
      </c>
      <c r="G64" s="77" t="s">
        <v>60</v>
      </c>
      <c r="H64" s="78">
        <v>-0.57</v>
      </c>
      <c r="I64" s="78">
        <v>-0.63</v>
      </c>
      <c r="J64" s="79" t="s">
        <v>60</v>
      </c>
      <c r="K64" s="78">
        <v>1.2</v>
      </c>
      <c r="L64" s="78">
        <v>-0.73</v>
      </c>
      <c r="M64" s="78">
        <v>-0.36</v>
      </c>
      <c r="N64" s="78">
        <v>-0.84</v>
      </c>
      <c r="O64" s="78">
        <v>-0.89</v>
      </c>
      <c r="P64" s="77" t="s">
        <v>60</v>
      </c>
      <c r="Q64" s="78">
        <v>-0.56</v>
      </c>
      <c r="R64" s="78">
        <v>-0.53</v>
      </c>
      <c r="S64" s="78">
        <v>-0.91</v>
      </c>
      <c r="T64" s="78">
        <v>-0.79</v>
      </c>
      <c r="U64" s="78">
        <v>-0.96</v>
      </c>
      <c r="V64" s="78">
        <v>-0.83</v>
      </c>
      <c r="W64" s="78">
        <v>-0.51</v>
      </c>
    </row>
    <row x14ac:dyDescent="0.25" r="65" customHeight="1" ht="17.25">
      <c r="A65" s="74" t="s">
        <v>56</v>
      </c>
      <c r="B65" s="74" t="s">
        <v>109</v>
      </c>
      <c r="C65" s="74" t="s">
        <v>110</v>
      </c>
      <c r="D65" s="75">
        <v>2024</v>
      </c>
      <c r="E65" s="76">
        <v>15579.7998046875</v>
      </c>
      <c r="F65" s="76">
        <v>5396.919921875</v>
      </c>
      <c r="G65" s="22"/>
      <c r="H65" s="76">
        <v>7775.83984375</v>
      </c>
      <c r="I65" s="76">
        <v>4363.169921875</v>
      </c>
      <c r="J65" s="29"/>
      <c r="K65" s="76">
        <v>922.570007324219</v>
      </c>
      <c r="L65" s="76">
        <v>4170.63995361328</v>
      </c>
      <c r="M65" s="76">
        <v>792.75</v>
      </c>
      <c r="N65" s="76">
        <v>-2349.39999389648</v>
      </c>
      <c r="O65" s="76">
        <v>31554.5604248047</v>
      </c>
      <c r="P65" s="22"/>
      <c r="Q65" s="76">
        <v>1072.5</v>
      </c>
      <c r="R65" s="76">
        <v>8792.39991760254</v>
      </c>
      <c r="S65" s="76">
        <v>687.52001953125</v>
      </c>
      <c r="T65" s="76">
        <v>4018.77990722656</v>
      </c>
      <c r="U65" s="29"/>
      <c r="V65" s="76">
        <v>7579.60986328125</v>
      </c>
      <c r="W65" s="76">
        <v>3335.75009155273</v>
      </c>
    </row>
    <row x14ac:dyDescent="0.25" r="66" customHeight="1" ht="17.25">
      <c r="A66" s="74" t="s">
        <v>56</v>
      </c>
      <c r="B66" s="74" t="s">
        <v>109</v>
      </c>
      <c r="C66" s="74" t="s">
        <v>111</v>
      </c>
      <c r="D66" s="75">
        <v>2025</v>
      </c>
      <c r="E66" s="76">
        <v>7767.7900390625</v>
      </c>
      <c r="F66" s="76">
        <v>3255.73999023438</v>
      </c>
      <c r="G66" s="22"/>
      <c r="H66" s="76">
        <v>3208.05004882813</v>
      </c>
      <c r="I66" s="76">
        <v>1689.27001953125</v>
      </c>
      <c r="J66" s="29"/>
      <c r="K66" s="76">
        <v>136.679992675781</v>
      </c>
      <c r="L66" s="76">
        <v>1056.12999916077</v>
      </c>
      <c r="M66" s="75">
        <v>210</v>
      </c>
      <c r="N66" s="76">
        <v>258.339996337891</v>
      </c>
      <c r="O66" s="76">
        <v>8526.15991973877</v>
      </c>
      <c r="P66" s="22"/>
      <c r="Q66" s="75">
        <v>975</v>
      </c>
      <c r="R66" s="76">
        <v>3287.1899394989</v>
      </c>
      <c r="S66" s="76">
        <v>206.25</v>
      </c>
      <c r="T66" s="76">
        <v>2079.6000213623</v>
      </c>
      <c r="U66" s="29"/>
      <c r="V66" s="75">
        <v>2765</v>
      </c>
      <c r="W66" s="75">
        <v>130</v>
      </c>
    </row>
    <row x14ac:dyDescent="0.25" r="67" customHeight="1" ht="17.25">
      <c r="A67" s="74" t="s">
        <v>56</v>
      </c>
      <c r="B67" s="74" t="s">
        <v>109</v>
      </c>
      <c r="C67" s="74" t="s">
        <v>111</v>
      </c>
      <c r="D67" s="77" t="s">
        <v>59</v>
      </c>
      <c r="E67" s="78">
        <v>-0.5</v>
      </c>
      <c r="F67" s="78">
        <v>-0.4</v>
      </c>
      <c r="G67" s="77" t="s">
        <v>60</v>
      </c>
      <c r="H67" s="78">
        <v>-0.59</v>
      </c>
      <c r="I67" s="78">
        <v>-0.61</v>
      </c>
      <c r="J67" s="79" t="s">
        <v>60</v>
      </c>
      <c r="K67" s="78">
        <v>-0.85</v>
      </c>
      <c r="L67" s="78">
        <v>-0.75</v>
      </c>
      <c r="M67" s="78">
        <v>-0.74</v>
      </c>
      <c r="N67" s="78">
        <v>-1.11</v>
      </c>
      <c r="O67" s="78">
        <v>-0.73</v>
      </c>
      <c r="P67" s="77" t="s">
        <v>60</v>
      </c>
      <c r="Q67" s="78">
        <v>-0.09</v>
      </c>
      <c r="R67" s="78">
        <v>-0.63</v>
      </c>
      <c r="S67" s="78">
        <v>-0.7</v>
      </c>
      <c r="T67" s="78">
        <v>-0.48</v>
      </c>
      <c r="U67" s="79" t="s">
        <v>60</v>
      </c>
      <c r="V67" s="78">
        <v>-0.64</v>
      </c>
      <c r="W67" s="78">
        <v>-0.96</v>
      </c>
    </row>
    <row x14ac:dyDescent="0.25" r="68" customHeight="1" ht="17.25">
      <c r="A68" s="74" t="s">
        <v>56</v>
      </c>
      <c r="B68" s="74" t="s">
        <v>112</v>
      </c>
      <c r="C68" s="74" t="s">
        <v>113</v>
      </c>
      <c r="D68" s="75">
        <v>2024</v>
      </c>
      <c r="E68" s="76">
        <v>12864.8896484375</v>
      </c>
      <c r="F68" s="76">
        <v>6053.93994140625</v>
      </c>
      <c r="G68" s="22"/>
      <c r="H68" s="76">
        <v>5508.5</v>
      </c>
      <c r="I68" s="76">
        <v>3556.09991455078</v>
      </c>
      <c r="J68" s="29"/>
      <c r="K68" s="76">
        <v>922.510009765625</v>
      </c>
      <c r="L68" s="76">
        <v>2383.19003295898</v>
      </c>
      <c r="M68" s="76">
        <v>238.900001525879</v>
      </c>
      <c r="N68" s="76">
        <v>3040.75004577637</v>
      </c>
      <c r="O68" s="76">
        <v>19555.0602226257</v>
      </c>
      <c r="P68" s="22"/>
      <c r="Q68" s="75">
        <v>455</v>
      </c>
      <c r="R68" s="76">
        <v>4537.04002189636</v>
      </c>
      <c r="S68" s="76">
        <v>275.029998779297</v>
      </c>
      <c r="T68" s="76">
        <v>1761.61001586914</v>
      </c>
      <c r="U68" s="29"/>
      <c r="V68" s="76">
        <v>6348.419921875</v>
      </c>
      <c r="W68" s="76">
        <v>1558.98994445801</v>
      </c>
    </row>
    <row x14ac:dyDescent="0.25" r="69" customHeight="1" ht="17.25">
      <c r="A69" s="74" t="s">
        <v>56</v>
      </c>
      <c r="B69" s="74" t="s">
        <v>112</v>
      </c>
      <c r="C69" s="74" t="s">
        <v>113</v>
      </c>
      <c r="D69" s="75">
        <v>2025</v>
      </c>
      <c r="E69" s="76">
        <v>4965.6298828125</v>
      </c>
      <c r="F69" s="76">
        <v>2206.56005859375</v>
      </c>
      <c r="G69" s="22"/>
      <c r="H69" s="76">
        <v>2658.39990234375</v>
      </c>
      <c r="I69" s="76">
        <v>1469.52001953125</v>
      </c>
      <c r="J69" s="29"/>
      <c r="K69" s="76">
        <v>239.169998168945</v>
      </c>
      <c r="L69" s="76">
        <v>1299.87997436523</v>
      </c>
      <c r="M69" s="76">
        <v>556.679992675781</v>
      </c>
      <c r="N69" s="76">
        <v>1993.34004211426</v>
      </c>
      <c r="O69" s="76">
        <v>2117.93994903564</v>
      </c>
      <c r="P69" s="22"/>
      <c r="Q69" s="76">
        <v>162.5</v>
      </c>
      <c r="R69" s="76">
        <v>4073.66996765137</v>
      </c>
      <c r="S69" s="76">
        <v>320.859985351563</v>
      </c>
      <c r="T69" s="76">
        <v>530.820007324219</v>
      </c>
      <c r="U69" s="29"/>
      <c r="V69" s="76">
        <v>2100.07006835938</v>
      </c>
      <c r="W69" s="75">
        <v>260</v>
      </c>
    </row>
    <row x14ac:dyDescent="0.25" r="70" customHeight="1" ht="17.25">
      <c r="A70" s="74" t="s">
        <v>56</v>
      </c>
      <c r="B70" s="74" t="s">
        <v>112</v>
      </c>
      <c r="C70" s="74" t="s">
        <v>113</v>
      </c>
      <c r="D70" s="77" t="s">
        <v>59</v>
      </c>
      <c r="E70" s="78">
        <v>-0.61</v>
      </c>
      <c r="F70" s="78">
        <v>-0.64</v>
      </c>
      <c r="G70" s="77" t="s">
        <v>60</v>
      </c>
      <c r="H70" s="78">
        <v>-0.52</v>
      </c>
      <c r="I70" s="78">
        <v>-0.59</v>
      </c>
      <c r="J70" s="79" t="s">
        <v>60</v>
      </c>
      <c r="K70" s="78">
        <v>-0.74</v>
      </c>
      <c r="L70" s="78">
        <v>-0.45</v>
      </c>
      <c r="M70" s="78">
        <v>1.33</v>
      </c>
      <c r="N70" s="78">
        <v>-0.34</v>
      </c>
      <c r="O70" s="78">
        <v>-0.89</v>
      </c>
      <c r="P70" s="77" t="s">
        <v>60</v>
      </c>
      <c r="Q70" s="78">
        <v>-0.64</v>
      </c>
      <c r="R70" s="78">
        <v>-0.1</v>
      </c>
      <c r="S70" s="78">
        <v>0.17</v>
      </c>
      <c r="T70" s="78">
        <v>-0.7</v>
      </c>
      <c r="U70" s="79" t="s">
        <v>60</v>
      </c>
      <c r="V70" s="78">
        <v>-0.67</v>
      </c>
      <c r="W70" s="78">
        <v>-0.83</v>
      </c>
    </row>
    <row x14ac:dyDescent="0.25" r="71" customHeight="1" ht="17.25">
      <c r="A71" s="74" t="s">
        <v>56</v>
      </c>
      <c r="B71" s="74" t="s">
        <v>114</v>
      </c>
      <c r="C71" s="74" t="s">
        <v>115</v>
      </c>
      <c r="D71" s="75">
        <v>2024</v>
      </c>
      <c r="E71" s="76">
        <v>17353.640625</v>
      </c>
      <c r="F71" s="76">
        <v>8062.419921875</v>
      </c>
      <c r="G71" s="22"/>
      <c r="H71" s="76">
        <v>9119.1103515625</v>
      </c>
      <c r="I71" s="76">
        <v>5961.27001953125</v>
      </c>
      <c r="J71" s="76">
        <v>34.5800018310547</v>
      </c>
      <c r="K71" s="76">
        <v>683.390014648438</v>
      </c>
      <c r="L71" s="76">
        <v>2924.74995422363</v>
      </c>
      <c r="M71" s="76">
        <v>1183.90001392365</v>
      </c>
      <c r="N71" s="76">
        <v>4756.6600189209</v>
      </c>
      <c r="O71" s="76">
        <v>18035.7597045898</v>
      </c>
      <c r="P71" s="22"/>
      <c r="Q71" s="75">
        <v>936</v>
      </c>
      <c r="R71" s="76">
        <v>6060.11009407043</v>
      </c>
      <c r="S71" s="76">
        <v>550.02001953125</v>
      </c>
      <c r="T71" s="76">
        <v>1218.73999023438</v>
      </c>
      <c r="U71" s="76">
        <v>1817.33999633789</v>
      </c>
      <c r="V71" s="76">
        <v>10022.9795684814</v>
      </c>
      <c r="W71" s="76">
        <v>7030.33001708984</v>
      </c>
    </row>
    <row x14ac:dyDescent="0.25" r="72" customHeight="1" ht="17.25">
      <c r="A72" s="74" t="s">
        <v>56</v>
      </c>
      <c r="B72" s="74" t="s">
        <v>114</v>
      </c>
      <c r="C72" s="74" t="s">
        <v>115</v>
      </c>
      <c r="D72" s="75">
        <v>2025</v>
      </c>
      <c r="E72" s="76">
        <v>4782.419921875</v>
      </c>
      <c r="F72" s="76">
        <v>2579.85009765625</v>
      </c>
      <c r="G72" s="22"/>
      <c r="H72" s="76">
        <v>2894.02001953125</v>
      </c>
      <c r="I72" s="76">
        <v>1493.01000976563</v>
      </c>
      <c r="J72" s="29"/>
      <c r="K72" s="76">
        <v>478.380004882813</v>
      </c>
      <c r="L72" s="76">
        <v>1706.05000305176</v>
      </c>
      <c r="M72" s="81">
        <v>624.869995117188</v>
      </c>
      <c r="N72" s="76">
        <v>1251.5299987793</v>
      </c>
      <c r="O72" s="76">
        <v>2789.89995765686</v>
      </c>
      <c r="P72" s="22"/>
      <c r="Q72" s="76">
        <v>45.5</v>
      </c>
      <c r="R72" s="76">
        <v>1038.56002807617</v>
      </c>
      <c r="S72" s="76">
        <v>68.7600021362305</v>
      </c>
      <c r="T72" s="76">
        <v>408.330003738403</v>
      </c>
      <c r="U72" s="76">
        <v>316.830001831055</v>
      </c>
      <c r="V72" s="76">
        <v>1624.32995605469</v>
      </c>
      <c r="W72" s="76">
        <v>7455.79999351501</v>
      </c>
    </row>
    <row x14ac:dyDescent="0.25" r="73" customHeight="1" ht="17.25">
      <c r="A73" s="74" t="s">
        <v>56</v>
      </c>
      <c r="B73" s="74" t="s">
        <v>114</v>
      </c>
      <c r="C73" s="74" t="s">
        <v>115</v>
      </c>
      <c r="D73" s="77" t="s">
        <v>59</v>
      </c>
      <c r="E73" s="78">
        <v>-0.72</v>
      </c>
      <c r="F73" s="78">
        <v>-0.68</v>
      </c>
      <c r="G73" s="77" t="s">
        <v>60</v>
      </c>
      <c r="H73" s="78">
        <v>-0.68</v>
      </c>
      <c r="I73" s="78">
        <v>-0.75</v>
      </c>
      <c r="J73" s="78">
        <v>-1</v>
      </c>
      <c r="K73" s="78">
        <v>-0.3</v>
      </c>
      <c r="L73" s="78">
        <v>-0.42</v>
      </c>
      <c r="M73" s="78">
        <v>-0.47</v>
      </c>
      <c r="N73" s="78">
        <v>-0.74</v>
      </c>
      <c r="O73" s="78">
        <v>-0.85</v>
      </c>
      <c r="P73" s="77" t="s">
        <v>60</v>
      </c>
      <c r="Q73" s="78">
        <v>-0.95</v>
      </c>
      <c r="R73" s="78">
        <v>-0.83</v>
      </c>
      <c r="S73" s="78">
        <v>-0.87</v>
      </c>
      <c r="T73" s="78">
        <v>-0.66</v>
      </c>
      <c r="U73" s="78">
        <v>-0.83</v>
      </c>
      <c r="V73" s="78">
        <v>-0.84</v>
      </c>
      <c r="W73" s="78">
        <v>0.06</v>
      </c>
    </row>
    <row x14ac:dyDescent="0.25" r="74" customHeight="1" ht="17.25">
      <c r="A74" s="74" t="s">
        <v>56</v>
      </c>
      <c r="B74" s="74" t="s">
        <v>116</v>
      </c>
      <c r="C74" s="74" t="s">
        <v>117</v>
      </c>
      <c r="D74" s="75">
        <v>2024</v>
      </c>
      <c r="E74" s="29"/>
      <c r="F74" s="29"/>
      <c r="G74" s="22"/>
      <c r="H74" s="29"/>
      <c r="I74" s="29"/>
      <c r="J74" s="29"/>
      <c r="K74" s="29"/>
      <c r="L74" s="29"/>
      <c r="M74" s="29"/>
      <c r="N74" s="29"/>
      <c r="O74" s="29"/>
      <c r="P74" s="22"/>
      <c r="Q74" s="29"/>
      <c r="R74" s="29"/>
      <c r="S74" s="29"/>
      <c r="T74" s="29"/>
      <c r="U74" s="29"/>
      <c r="V74" s="29"/>
      <c r="W74" s="29"/>
    </row>
    <row x14ac:dyDescent="0.25" r="75" customHeight="1" ht="17.25">
      <c r="A75" s="74" t="s">
        <v>56</v>
      </c>
      <c r="B75" s="74" t="s">
        <v>116</v>
      </c>
      <c r="C75" s="74" t="s">
        <v>117</v>
      </c>
      <c r="D75" s="75">
        <v>2025</v>
      </c>
      <c r="E75" s="29"/>
      <c r="F75" s="29"/>
      <c r="G75" s="22"/>
      <c r="H75" s="29"/>
      <c r="I75" s="29"/>
      <c r="J75" s="29"/>
      <c r="K75" s="29"/>
      <c r="L75" s="29"/>
      <c r="M75" s="29"/>
      <c r="N75" s="29"/>
      <c r="O75" s="29"/>
      <c r="P75" s="22"/>
      <c r="Q75" s="29"/>
      <c r="R75" s="29"/>
      <c r="S75" s="29"/>
      <c r="T75" s="29"/>
      <c r="U75" s="29"/>
      <c r="V75" s="29"/>
      <c r="W75" s="29"/>
    </row>
    <row x14ac:dyDescent="0.25" r="76" customHeight="1" ht="17.25">
      <c r="A76" s="74" t="s">
        <v>56</v>
      </c>
      <c r="B76" s="74" t="s">
        <v>116</v>
      </c>
      <c r="C76" s="74" t="s">
        <v>117</v>
      </c>
      <c r="D76" s="77" t="s">
        <v>59</v>
      </c>
      <c r="E76" s="79" t="s">
        <v>60</v>
      </c>
      <c r="F76" s="79" t="s">
        <v>60</v>
      </c>
      <c r="G76" s="77" t="s">
        <v>60</v>
      </c>
      <c r="H76" s="79" t="s">
        <v>60</v>
      </c>
      <c r="I76" s="79" t="s">
        <v>60</v>
      </c>
      <c r="J76" s="79" t="s">
        <v>60</v>
      </c>
      <c r="K76" s="79" t="s">
        <v>60</v>
      </c>
      <c r="L76" s="79" t="s">
        <v>60</v>
      </c>
      <c r="M76" s="79" t="s">
        <v>60</v>
      </c>
      <c r="N76" s="79" t="s">
        <v>60</v>
      </c>
      <c r="O76" s="79" t="s">
        <v>60</v>
      </c>
      <c r="P76" s="77" t="s">
        <v>60</v>
      </c>
      <c r="Q76" s="79" t="s">
        <v>60</v>
      </c>
      <c r="R76" s="79" t="s">
        <v>60</v>
      </c>
      <c r="S76" s="79" t="s">
        <v>60</v>
      </c>
      <c r="T76" s="79" t="s">
        <v>60</v>
      </c>
      <c r="U76" s="79" t="s">
        <v>60</v>
      </c>
      <c r="V76" s="79" t="s">
        <v>60</v>
      </c>
      <c r="W76" s="79" t="s">
        <v>60</v>
      </c>
    </row>
    <row x14ac:dyDescent="0.25" r="77" customHeight="1" ht="17.25">
      <c r="A77" s="74" t="s">
        <v>56</v>
      </c>
      <c r="B77" s="74" t="s">
        <v>118</v>
      </c>
      <c r="C77" s="74" t="s">
        <v>118</v>
      </c>
      <c r="D77" s="75">
        <v>2024</v>
      </c>
      <c r="E77" s="76">
        <v>324706.543081284</v>
      </c>
      <c r="F77" s="76">
        <v>178944.705200195</v>
      </c>
      <c r="G77" s="75">
        <v>0</v>
      </c>
      <c r="H77" s="76">
        <v>165259.240656853</v>
      </c>
      <c r="I77" s="76">
        <v>100506.11582756</v>
      </c>
      <c r="J77" s="75">
        <v>1340</v>
      </c>
      <c r="K77" s="75">
        <v>16380</v>
      </c>
      <c r="L77" s="76">
        <v>131116.180053711</v>
      </c>
      <c r="M77" s="76">
        <v>8316.48991775513</v>
      </c>
      <c r="N77" s="76">
        <v>126004.298294067</v>
      </c>
      <c r="O77" s="76">
        <v>172345.28896904</v>
      </c>
      <c r="P77" s="75">
        <v>0</v>
      </c>
      <c r="Q77" s="75">
        <v>11475</v>
      </c>
      <c r="R77" s="76">
        <v>115020.109381676</v>
      </c>
      <c r="S77" s="76">
        <v>18562.5</v>
      </c>
      <c r="T77" s="76">
        <v>27227.3797302246</v>
      </c>
      <c r="U77" s="76">
        <v>32020.8200073242</v>
      </c>
      <c r="V77" s="76">
        <v>179346.25</v>
      </c>
      <c r="W77" s="76">
        <v>112760.152948737</v>
      </c>
    </row>
    <row x14ac:dyDescent="0.25" r="78" customHeight="1" ht="17.25">
      <c r="A78" s="74" t="s">
        <v>56</v>
      </c>
      <c r="B78" s="74" t="s">
        <v>118</v>
      </c>
      <c r="C78" s="74" t="s">
        <v>118</v>
      </c>
      <c r="D78" s="75">
        <v>2025</v>
      </c>
      <c r="E78" s="76">
        <v>112653.741699219</v>
      </c>
      <c r="F78" s="76">
        <v>136314.96875</v>
      </c>
      <c r="G78" s="75">
        <v>0</v>
      </c>
      <c r="H78" s="76">
        <v>50011.5114746094</v>
      </c>
      <c r="I78" s="76">
        <v>37550.8798828125</v>
      </c>
      <c r="J78" s="75">
        <v>0</v>
      </c>
      <c r="K78" s="75">
        <v>2600</v>
      </c>
      <c r="L78" s="75">
        <v>11466</v>
      </c>
      <c r="M78" s="76">
        <v>1015.27000427246</v>
      </c>
      <c r="N78" s="76">
        <v>20394.9598236084</v>
      </c>
      <c r="O78" s="76">
        <v>23995.2900876999</v>
      </c>
      <c r="P78" s="75">
        <v>0</v>
      </c>
      <c r="Q78" s="76">
        <v>2377.25</v>
      </c>
      <c r="R78" s="76">
        <v>18436.7699046135</v>
      </c>
      <c r="S78" s="75">
        <v>4500</v>
      </c>
      <c r="T78" s="76">
        <v>9117.88958740234</v>
      </c>
      <c r="U78" s="76">
        <v>8566.66015625</v>
      </c>
      <c r="V78" s="75">
        <v>29475</v>
      </c>
      <c r="W78" s="76">
        <v>78413.5816345215</v>
      </c>
    </row>
    <row x14ac:dyDescent="0.25" r="79" customHeight="1" ht="17.25">
      <c r="A79" s="74" t="s">
        <v>56</v>
      </c>
      <c r="B79" s="74" t="s">
        <v>118</v>
      </c>
      <c r="C79" s="74" t="s">
        <v>118</v>
      </c>
      <c r="D79" s="77" t="s">
        <v>59</v>
      </c>
      <c r="E79" s="78">
        <v>-0.65</v>
      </c>
      <c r="F79" s="78">
        <v>-0.24</v>
      </c>
      <c r="G79" s="77" t="s">
        <v>60</v>
      </c>
      <c r="H79" s="78">
        <v>-0.7</v>
      </c>
      <c r="I79" s="78">
        <v>-0.63</v>
      </c>
      <c r="J79" s="78">
        <v>-1</v>
      </c>
      <c r="K79" s="78">
        <v>-0.84</v>
      </c>
      <c r="L79" s="78">
        <v>-0.91</v>
      </c>
      <c r="M79" s="78">
        <v>-0.88</v>
      </c>
      <c r="N79" s="78">
        <v>-0.84</v>
      </c>
      <c r="O79" s="78">
        <v>-0.86</v>
      </c>
      <c r="P79" s="77" t="s">
        <v>60</v>
      </c>
      <c r="Q79" s="78">
        <v>-0.79</v>
      </c>
      <c r="R79" s="78">
        <v>-0.84</v>
      </c>
      <c r="S79" s="78">
        <v>-0.76</v>
      </c>
      <c r="T79" s="78">
        <v>-0.67</v>
      </c>
      <c r="U79" s="78">
        <v>-0.73</v>
      </c>
      <c r="V79" s="78">
        <v>-0.84</v>
      </c>
      <c r="W79" s="78">
        <v>-0.3</v>
      </c>
    </row>
    <row x14ac:dyDescent="0.25" r="80" customHeight="1" ht="17.25">
      <c r="A80" s="74" t="s">
        <v>56</v>
      </c>
      <c r="B80" s="74" t="s">
        <v>119</v>
      </c>
      <c r="C80" s="74" t="s">
        <v>120</v>
      </c>
      <c r="D80" s="75">
        <v>2024</v>
      </c>
      <c r="E80" s="76">
        <v>72364.9985351563</v>
      </c>
      <c r="F80" s="76">
        <v>55534.3891601563</v>
      </c>
      <c r="G80" s="75">
        <v>0</v>
      </c>
      <c r="H80" s="76">
        <v>41695.4602050781</v>
      </c>
      <c r="I80" s="76">
        <v>33186.359741211</v>
      </c>
      <c r="J80" s="76">
        <v>69.1600036621094</v>
      </c>
      <c r="K80" s="76">
        <v>4271.05996704102</v>
      </c>
      <c r="L80" s="76">
        <v>23560.5300292969</v>
      </c>
      <c r="M80" s="76">
        <v>9700.13005256653</v>
      </c>
      <c r="N80" s="76">
        <v>9453.1300163269</v>
      </c>
      <c r="O80" s="76">
        <v>164003.089334488</v>
      </c>
      <c r="P80" s="75">
        <v>0</v>
      </c>
      <c r="Q80" s="76">
        <v>6964.75</v>
      </c>
      <c r="R80" s="76">
        <v>46442.1800231933</v>
      </c>
      <c r="S80" s="76">
        <v>2452.21998596191</v>
      </c>
      <c r="T80" s="76">
        <v>8846.99991035462</v>
      </c>
      <c r="U80" s="76">
        <v>10604.3199768066</v>
      </c>
      <c r="V80" s="76">
        <v>46575.3400878906</v>
      </c>
      <c r="W80" s="76">
        <v>28438.6600875854</v>
      </c>
    </row>
    <row x14ac:dyDescent="0.25" r="81" customHeight="1" ht="17.25">
      <c r="A81" s="74" t="s">
        <v>56</v>
      </c>
      <c r="B81" s="74" t="s">
        <v>119</v>
      </c>
      <c r="C81" s="74" t="s">
        <v>120</v>
      </c>
      <c r="D81" s="75">
        <v>2025</v>
      </c>
      <c r="E81" s="76">
        <v>28368.5399169922</v>
      </c>
      <c r="F81" s="76">
        <v>24830.5806884766</v>
      </c>
      <c r="G81" s="75">
        <v>0</v>
      </c>
      <c r="H81" s="76">
        <v>15782.5799560547</v>
      </c>
      <c r="I81" s="76">
        <v>12496.0299530029</v>
      </c>
      <c r="J81" s="76">
        <v>136.679992675781</v>
      </c>
      <c r="K81" s="76">
        <v>1195.89999389649</v>
      </c>
      <c r="L81" s="76">
        <v>7420.25996589661</v>
      </c>
      <c r="M81" s="76">
        <v>871.609996795655</v>
      </c>
      <c r="N81" s="76">
        <v>2348.27000236511</v>
      </c>
      <c r="O81" s="76">
        <v>41764.4605506659</v>
      </c>
      <c r="P81" s="75">
        <v>0</v>
      </c>
      <c r="Q81" s="76">
        <v>3240.25</v>
      </c>
      <c r="R81" s="76">
        <v>19198.659948349</v>
      </c>
      <c r="S81" s="76">
        <v>825.029993057251</v>
      </c>
      <c r="T81" s="76">
        <v>5597.98989486694</v>
      </c>
      <c r="U81" s="76">
        <v>3317.66999816895</v>
      </c>
      <c r="V81" s="76">
        <v>14029.0495605469</v>
      </c>
      <c r="W81" s="76">
        <v>16551.689994812</v>
      </c>
    </row>
    <row x14ac:dyDescent="0.25" r="82" customHeight="1" ht="17.25">
      <c r="A82" s="74" t="s">
        <v>56</v>
      </c>
      <c r="B82" s="74" t="s">
        <v>119</v>
      </c>
      <c r="C82" s="74" t="s">
        <v>120</v>
      </c>
      <c r="D82" s="77" t="s">
        <v>59</v>
      </c>
      <c r="E82" s="78">
        <v>-0.61</v>
      </c>
      <c r="F82" s="78">
        <v>-0.55</v>
      </c>
      <c r="G82" s="77" t="s">
        <v>60</v>
      </c>
      <c r="H82" s="78">
        <v>-0.62</v>
      </c>
      <c r="I82" s="78">
        <v>-0.62</v>
      </c>
      <c r="J82" s="78">
        <v>0.98</v>
      </c>
      <c r="K82" s="78">
        <v>-0.72</v>
      </c>
      <c r="L82" s="78">
        <v>-0.69</v>
      </c>
      <c r="M82" s="78">
        <v>-0.91</v>
      </c>
      <c r="N82" s="78">
        <v>-0.75</v>
      </c>
      <c r="O82" s="78">
        <v>-0.75</v>
      </c>
      <c r="P82" s="77" t="s">
        <v>60</v>
      </c>
      <c r="Q82" s="78">
        <v>-0.53</v>
      </c>
      <c r="R82" s="78">
        <v>-0.59</v>
      </c>
      <c r="S82" s="78">
        <v>-0.66</v>
      </c>
      <c r="T82" s="78">
        <v>-0.37</v>
      </c>
      <c r="U82" s="78">
        <v>-0.69</v>
      </c>
      <c r="V82" s="78">
        <v>-0.7</v>
      </c>
      <c r="W82" s="78">
        <v>-0.42</v>
      </c>
    </row>
    <row x14ac:dyDescent="0.25" r="83" customHeight="1" ht="17.25">
      <c r="A83" s="74" t="s">
        <v>56</v>
      </c>
      <c r="B83" s="74" t="s">
        <v>121</v>
      </c>
      <c r="C83" s="74" t="s">
        <v>122</v>
      </c>
      <c r="D83" s="75">
        <v>2024</v>
      </c>
      <c r="E83" s="76">
        <v>113893.348815918</v>
      </c>
      <c r="F83" s="76">
        <v>54197.1195068359</v>
      </c>
      <c r="G83" s="75">
        <v>0</v>
      </c>
      <c r="H83" s="76">
        <v>56696.2210540771</v>
      </c>
      <c r="I83" s="76">
        <v>36650.0896759033</v>
      </c>
      <c r="J83" s="76">
        <v>207.480010986328</v>
      </c>
      <c r="K83" s="76">
        <v>4271.08004760742</v>
      </c>
      <c r="L83" s="76">
        <v>25808.4600086212</v>
      </c>
      <c r="M83" s="76">
        <v>7574.52002239228</v>
      </c>
      <c r="N83" s="76">
        <v>22627.7100939751</v>
      </c>
      <c r="O83" s="76">
        <v>159533.480230331</v>
      </c>
      <c r="P83" s="75">
        <v>0</v>
      </c>
      <c r="Q83" s="76">
        <v>6269.25</v>
      </c>
      <c r="R83" s="76">
        <v>50213.8401699066</v>
      </c>
      <c r="S83" s="76">
        <v>3323.16003417969</v>
      </c>
      <c r="T83" s="76">
        <v>10382.5099372864</v>
      </c>
      <c r="U83" s="76">
        <v>8314.98001098633</v>
      </c>
      <c r="V83" s="76">
        <v>61993.7294616698</v>
      </c>
      <c r="W83" s="76">
        <v>29098.089931488</v>
      </c>
    </row>
    <row x14ac:dyDescent="0.25" r="84" customHeight="1" ht="17.25">
      <c r="A84" s="74" t="s">
        <v>56</v>
      </c>
      <c r="B84" s="74" t="s">
        <v>121</v>
      </c>
      <c r="C84" s="74" t="s">
        <v>122</v>
      </c>
      <c r="D84" s="75">
        <v>2025</v>
      </c>
      <c r="E84" s="76">
        <v>41402.1401367188</v>
      </c>
      <c r="F84" s="76">
        <v>18046.3901367188</v>
      </c>
      <c r="G84" s="75">
        <v>0</v>
      </c>
      <c r="H84" s="76">
        <v>21049.3400878906</v>
      </c>
      <c r="I84" s="76">
        <v>9586.49008178712</v>
      </c>
      <c r="J84" s="75">
        <v>0</v>
      </c>
      <c r="K84" s="76">
        <v>2152.59996032715</v>
      </c>
      <c r="L84" s="76">
        <v>8909.5699710846</v>
      </c>
      <c r="M84" s="76">
        <v>2762.06998729706</v>
      </c>
      <c r="N84" s="76">
        <v>6160.28003883362</v>
      </c>
      <c r="O84" s="76">
        <v>24225.3598117828</v>
      </c>
      <c r="P84" s="75">
        <v>0</v>
      </c>
      <c r="Q84" s="76">
        <v>2502.5</v>
      </c>
      <c r="R84" s="76">
        <v>22818.8199367523</v>
      </c>
      <c r="S84" s="76">
        <v>1008.40998458862</v>
      </c>
      <c r="T84" s="76">
        <v>3832.90003204345</v>
      </c>
      <c r="U84" s="76">
        <v>1249.66000366211</v>
      </c>
      <c r="V84" s="76">
        <v>12927.9001464844</v>
      </c>
      <c r="W84" s="76">
        <v>16775.8499908447</v>
      </c>
    </row>
    <row x14ac:dyDescent="0.25" r="85" customHeight="1" ht="17.25">
      <c r="A85" s="74" t="s">
        <v>56</v>
      </c>
      <c r="B85" s="74" t="s">
        <v>121</v>
      </c>
      <c r="C85" s="74" t="s">
        <v>122</v>
      </c>
      <c r="D85" s="77" t="s">
        <v>59</v>
      </c>
      <c r="E85" s="78">
        <v>-0.64</v>
      </c>
      <c r="F85" s="78">
        <v>-0.67</v>
      </c>
      <c r="G85" s="77" t="s">
        <v>60</v>
      </c>
      <c r="H85" s="78">
        <v>-0.63</v>
      </c>
      <c r="I85" s="78">
        <v>-0.74</v>
      </c>
      <c r="J85" s="78">
        <v>-1</v>
      </c>
      <c r="K85" s="78">
        <v>-0.5</v>
      </c>
      <c r="L85" s="78">
        <v>-0.65</v>
      </c>
      <c r="M85" s="78">
        <v>-0.64</v>
      </c>
      <c r="N85" s="78">
        <v>-0.73</v>
      </c>
      <c r="O85" s="78">
        <v>-0.85</v>
      </c>
      <c r="P85" s="77" t="s">
        <v>60</v>
      </c>
      <c r="Q85" s="78">
        <v>-0.6</v>
      </c>
      <c r="R85" s="78">
        <v>-0.55</v>
      </c>
      <c r="S85" s="78">
        <v>-0.7</v>
      </c>
      <c r="T85" s="78">
        <v>-0.63</v>
      </c>
      <c r="U85" s="78">
        <v>-0.85</v>
      </c>
      <c r="V85" s="78">
        <v>-0.79</v>
      </c>
      <c r="W85" s="78">
        <v>-0.42</v>
      </c>
    </row>
    <row x14ac:dyDescent="0.25" r="86" customHeight="1" ht="17.25">
      <c r="A86" s="74" t="s">
        <v>56</v>
      </c>
      <c r="B86" s="74" t="s">
        <v>123</v>
      </c>
      <c r="C86" s="74" t="s">
        <v>123</v>
      </c>
      <c r="D86" s="75">
        <v>2024</v>
      </c>
      <c r="E86" s="76">
        <v>510964.890432358</v>
      </c>
      <c r="F86" s="76">
        <v>288676.213867187</v>
      </c>
      <c r="G86" s="75">
        <v>0</v>
      </c>
      <c r="H86" s="76">
        <v>263650.921916008</v>
      </c>
      <c r="I86" s="76">
        <v>170342.565244675</v>
      </c>
      <c r="J86" s="76">
        <v>1616.64001464844</v>
      </c>
      <c r="K86" s="76">
        <v>24922.1400146484</v>
      </c>
      <c r="L86" s="76">
        <v>180485.170091629</v>
      </c>
      <c r="M86" s="76">
        <v>25591.1399927139</v>
      </c>
      <c r="N86" s="76">
        <v>158085.138404369</v>
      </c>
      <c r="O86" s="76">
        <v>495881.858533859</v>
      </c>
      <c r="P86" s="75">
        <v>0</v>
      </c>
      <c r="Q86" s="75">
        <v>24709</v>
      </c>
      <c r="R86" s="76">
        <v>211676.129574776</v>
      </c>
      <c r="S86" s="76">
        <v>24337.8800201416</v>
      </c>
      <c r="T86" s="76">
        <v>46456.8895778656</v>
      </c>
      <c r="U86" s="76">
        <v>50940.1199951172</v>
      </c>
      <c r="V86" s="76">
        <v>287915.31954956</v>
      </c>
      <c r="W86" s="76">
        <v>170296.902967811</v>
      </c>
    </row>
    <row x14ac:dyDescent="0.25" r="87" customHeight="1" ht="17.25">
      <c r="A87" s="74" t="s">
        <v>56</v>
      </c>
      <c r="B87" s="74" t="s">
        <v>123</v>
      </c>
      <c r="C87" s="74" t="s">
        <v>123</v>
      </c>
      <c r="D87" s="75">
        <v>2025</v>
      </c>
      <c r="E87" s="76">
        <v>182424.42175293</v>
      </c>
      <c r="F87" s="76">
        <v>179191.939575195</v>
      </c>
      <c r="G87" s="75">
        <v>0</v>
      </c>
      <c r="H87" s="76">
        <v>86843.4315185547</v>
      </c>
      <c r="I87" s="76">
        <v>59633.3999176026</v>
      </c>
      <c r="J87" s="76">
        <v>136.679992675781</v>
      </c>
      <c r="K87" s="76">
        <v>5948.49995422364</v>
      </c>
      <c r="L87" s="76">
        <v>27795.8299369812</v>
      </c>
      <c r="M87" s="76">
        <v>4648.94998836517</v>
      </c>
      <c r="N87" s="76">
        <v>28903.5098648071</v>
      </c>
      <c r="O87" s="76">
        <v>89985.1104501486</v>
      </c>
      <c r="P87" s="75">
        <v>0</v>
      </c>
      <c r="Q87" s="75">
        <v>8120</v>
      </c>
      <c r="R87" s="76">
        <v>60454.2497897149</v>
      </c>
      <c r="S87" s="76">
        <v>6333.43997764587</v>
      </c>
      <c r="T87" s="76">
        <v>18548.7795143127</v>
      </c>
      <c r="U87" s="76">
        <v>13133.9901580811</v>
      </c>
      <c r="V87" s="76">
        <v>56431.9497070313</v>
      </c>
      <c r="W87" s="76">
        <v>111741.121620178</v>
      </c>
    </row>
    <row x14ac:dyDescent="0.25" r="88" customHeight="1" ht="17.25">
      <c r="A88" s="74" t="s">
        <v>56</v>
      </c>
      <c r="B88" s="74" t="s">
        <v>123</v>
      </c>
      <c r="C88" s="74" t="s">
        <v>123</v>
      </c>
      <c r="D88" s="77" t="s">
        <v>59</v>
      </c>
      <c r="E88" s="78">
        <v>-0.64</v>
      </c>
      <c r="F88" s="78">
        <v>-0.38</v>
      </c>
      <c r="G88" s="77" t="s">
        <v>60</v>
      </c>
      <c r="H88" s="78">
        <v>-0.67</v>
      </c>
      <c r="I88" s="78">
        <v>-0.65</v>
      </c>
      <c r="J88" s="78">
        <v>-0.92</v>
      </c>
      <c r="K88" s="78">
        <v>-0.76</v>
      </c>
      <c r="L88" s="78">
        <v>-0.85</v>
      </c>
      <c r="M88" s="78">
        <v>-0.82</v>
      </c>
      <c r="N88" s="78">
        <v>-0.82</v>
      </c>
      <c r="O88" s="78">
        <v>-0.82</v>
      </c>
      <c r="P88" s="77" t="s">
        <v>60</v>
      </c>
      <c r="Q88" s="78">
        <v>-0.67</v>
      </c>
      <c r="R88" s="78">
        <v>-0.71</v>
      </c>
      <c r="S88" s="78">
        <v>-0.74</v>
      </c>
      <c r="T88" s="78">
        <v>-0.6</v>
      </c>
      <c r="U88" s="78">
        <v>-0.74</v>
      </c>
      <c r="V88" s="78">
        <v>-0.8</v>
      </c>
      <c r="W88" s="78">
        <v>-0.34</v>
      </c>
    </row>
  </sheetData>
  <mergeCells count="9">
    <mergeCell ref="T2:W2"/>
    <mergeCell ref="A5:B5"/>
    <mergeCell ref="E5:G5"/>
    <mergeCell ref="H5:I5"/>
    <mergeCell ref="J5:M5"/>
    <mergeCell ref="N5:P5"/>
    <mergeCell ref="S5:U5"/>
    <mergeCell ref="V5:V6"/>
    <mergeCell ref="W5:W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88"/>
  <sheetViews>
    <sheetView workbookViewId="0"/>
  </sheetViews>
  <sheetFormatPr defaultRowHeight="15" x14ac:dyDescent="0.25"/>
  <cols>
    <col min="1" max="1" style="19" width="19.862142857142857" customWidth="1" bestFit="1"/>
    <col min="2" max="2" style="19" width="25.14785714285714" customWidth="1" bestFit="1"/>
    <col min="3" max="3" style="19" width="31.719285714285714" customWidth="1" bestFit="1"/>
    <col min="4" max="4" style="24" width="5.862142857142857" customWidth="1" bestFit="1"/>
    <col min="5" max="5" style="80" width="9.147857142857141" customWidth="1" bestFit="1"/>
    <col min="6" max="6" style="80" width="8.576428571428572" customWidth="1" bestFit="1"/>
    <col min="7" max="7" style="24" width="8.290714285714287" customWidth="1" bestFit="1"/>
    <col min="8" max="8" style="80" width="7.433571428571429" customWidth="1" bestFit="1"/>
    <col min="9" max="9" style="80" width="7.719285714285714" customWidth="1" bestFit="1"/>
    <col min="10" max="10" style="80" width="9.147857142857141" customWidth="1" bestFit="1"/>
    <col min="11" max="11" style="80" width="7.862142857142857" customWidth="1" bestFit="1"/>
    <col min="12" max="12" style="80" width="7.862142857142857" customWidth="1" bestFit="1"/>
    <col min="13" max="13" style="80" width="8.147857142857141" customWidth="1" bestFit="1"/>
    <col min="14" max="14" style="80" width="7.719285714285714" customWidth="1" bestFit="1"/>
    <col min="15" max="15" style="80" width="8.005" customWidth="1" bestFit="1"/>
    <col min="16" max="16" style="24" width="7.862142857142857" customWidth="1" bestFit="1"/>
    <col min="17" max="17" style="80" width="8.005" customWidth="1" bestFit="1"/>
    <col min="18" max="18" style="80" width="8.862142857142858" customWidth="1" bestFit="1"/>
    <col min="19" max="19" style="80" width="8.43357142857143" customWidth="1" bestFit="1"/>
    <col min="20" max="20" style="80" width="8.147857142857141" customWidth="1" bestFit="1"/>
    <col min="21" max="21" style="80" width="8.43357142857143" customWidth="1" bestFit="1"/>
    <col min="22" max="22" style="80" width="7.576428571428571" customWidth="1" bestFit="1"/>
    <col min="23" max="23" style="80" width="8.147857142857141" customWidth="1" bestFit="1"/>
  </cols>
  <sheetData>
    <row x14ac:dyDescent="0.25" r="1" customHeight="1" ht="9.75">
      <c r="A1" s="25" t="s">
        <v>0</v>
      </c>
      <c r="B1" s="26"/>
      <c r="C1" s="27"/>
      <c r="D1" s="28"/>
      <c r="E1" s="29"/>
      <c r="F1" s="29"/>
      <c r="G1" s="22"/>
      <c r="H1" s="29"/>
      <c r="I1" s="29"/>
      <c r="J1" s="29"/>
      <c r="K1" s="29"/>
      <c r="L1" s="29"/>
      <c r="M1" s="29"/>
      <c r="N1" s="29"/>
      <c r="O1" s="29"/>
      <c r="P1" s="22"/>
      <c r="Q1" s="29"/>
      <c r="R1" s="29"/>
      <c r="S1" s="29"/>
      <c r="T1" s="29"/>
      <c r="U1" s="29"/>
      <c r="V1" s="29"/>
      <c r="W1" s="29"/>
    </row>
    <row x14ac:dyDescent="0.25" r="2" customHeight="1" ht="24.75">
      <c r="A2" s="25" t="s">
        <v>2</v>
      </c>
      <c r="B2" s="26"/>
      <c r="C2" s="27"/>
      <c r="D2" s="28"/>
      <c r="E2" s="29"/>
      <c r="F2" s="29"/>
      <c r="G2" s="30"/>
      <c r="H2" s="31" t="s">
        <v>29</v>
      </c>
      <c r="I2" s="32"/>
      <c r="J2" s="32"/>
      <c r="K2" s="32"/>
      <c r="L2" s="29"/>
      <c r="M2" s="29"/>
      <c r="N2" s="29"/>
      <c r="O2" s="29"/>
      <c r="P2" s="22"/>
      <c r="Q2" s="29"/>
      <c r="R2" s="29"/>
      <c r="S2" s="33"/>
      <c r="T2" s="34">
        <f>+TODAY()</f>
        <v>25569</v>
      </c>
      <c r="U2" s="29"/>
      <c r="V2" s="29"/>
      <c r="W2" s="29"/>
    </row>
    <row x14ac:dyDescent="0.25" r="3" customHeight="1" ht="17.25">
      <c r="A3" s="35"/>
      <c r="B3" s="35"/>
      <c r="C3" s="35"/>
      <c r="D3" s="30"/>
      <c r="E3" s="32"/>
      <c r="F3" s="32"/>
      <c r="G3" s="30"/>
      <c r="H3" s="32"/>
      <c r="I3" s="36"/>
      <c r="J3" s="36" t="s">
        <v>53</v>
      </c>
      <c r="K3" s="36"/>
      <c r="L3" s="36"/>
      <c r="M3" s="32"/>
      <c r="N3" s="32"/>
      <c r="O3" s="32"/>
      <c r="P3" s="30"/>
      <c r="Q3" s="32"/>
      <c r="R3" s="32"/>
      <c r="S3" s="32"/>
      <c r="T3" s="32"/>
      <c r="U3" s="32"/>
      <c r="V3" s="29"/>
      <c r="W3" s="29"/>
    </row>
    <row x14ac:dyDescent="0.25" r="4" customHeight="1" ht="13.5">
      <c r="A4" s="27"/>
      <c r="B4" s="26"/>
      <c r="C4" s="27"/>
      <c r="D4" s="28"/>
      <c r="E4" s="29"/>
      <c r="F4" s="32"/>
      <c r="G4" s="30"/>
      <c r="H4" s="32"/>
      <c r="I4" s="32"/>
      <c r="J4" s="32"/>
      <c r="K4" s="32"/>
      <c r="L4" s="29"/>
      <c r="M4" s="29"/>
      <c r="N4" s="29"/>
      <c r="O4" s="29"/>
      <c r="P4" s="22"/>
      <c r="Q4" s="29"/>
      <c r="R4" s="29"/>
      <c r="S4" s="29"/>
      <c r="T4" s="29"/>
      <c r="U4" s="29"/>
      <c r="V4" s="29"/>
      <c r="W4" s="29"/>
    </row>
    <row x14ac:dyDescent="0.25" r="5" customHeight="1" ht="14.25">
      <c r="A5" s="37"/>
      <c r="B5" s="3"/>
      <c r="C5" s="27"/>
      <c r="D5" s="28"/>
      <c r="E5" s="38" t="s">
        <v>30</v>
      </c>
      <c r="F5" s="39"/>
      <c r="G5" s="40"/>
      <c r="H5" s="41" t="s">
        <v>54</v>
      </c>
      <c r="I5" s="42"/>
      <c r="J5" s="43" t="s">
        <v>32</v>
      </c>
      <c r="K5" s="39"/>
      <c r="L5" s="39"/>
      <c r="M5" s="42"/>
      <c r="N5" s="44" t="s">
        <v>33</v>
      </c>
      <c r="O5" s="39"/>
      <c r="P5" s="45"/>
      <c r="Q5" s="43" t="s">
        <v>34</v>
      </c>
      <c r="R5" s="46" t="s">
        <v>35</v>
      </c>
      <c r="S5" s="41" t="s">
        <v>36</v>
      </c>
      <c r="T5" s="39"/>
      <c r="U5" s="42"/>
      <c r="V5" s="47" t="s">
        <v>37</v>
      </c>
      <c r="W5" s="47" t="s">
        <v>38</v>
      </c>
    </row>
    <row x14ac:dyDescent="0.25" r="6" customHeight="1" ht="14.25">
      <c r="A6" s="27"/>
      <c r="B6" s="26"/>
      <c r="C6" s="27"/>
      <c r="D6" s="28"/>
      <c r="E6" s="48">
        <v>10</v>
      </c>
      <c r="F6" s="49">
        <v>100</v>
      </c>
      <c r="G6" s="50" t="s">
        <v>39</v>
      </c>
      <c r="H6" s="51">
        <v>10</v>
      </c>
      <c r="I6" s="52">
        <v>100</v>
      </c>
      <c r="J6" s="53" t="s">
        <v>40</v>
      </c>
      <c r="K6" s="54" t="s">
        <v>41</v>
      </c>
      <c r="L6" s="54" t="s">
        <v>42</v>
      </c>
      <c r="M6" s="55" t="s">
        <v>43</v>
      </c>
      <c r="N6" s="51">
        <v>36</v>
      </c>
      <c r="O6" s="54" t="s">
        <v>44</v>
      </c>
      <c r="P6" s="52">
        <v>60</v>
      </c>
      <c r="Q6" s="53" t="s">
        <v>45</v>
      </c>
      <c r="R6" s="55" t="s">
        <v>46</v>
      </c>
      <c r="S6" s="56" t="s">
        <v>47</v>
      </c>
      <c r="T6" s="57">
        <v>88.5</v>
      </c>
      <c r="U6" s="58" t="s">
        <v>48</v>
      </c>
      <c r="V6" s="59"/>
      <c r="W6" s="59"/>
    </row>
    <row x14ac:dyDescent="0.25" r="7" customHeight="1" ht="14.25">
      <c r="A7" s="60" t="s">
        <v>19</v>
      </c>
      <c r="B7" s="61" t="s">
        <v>22</v>
      </c>
      <c r="C7" s="61" t="s">
        <v>22</v>
      </c>
      <c r="D7" s="62" t="s">
        <v>23</v>
      </c>
      <c r="E7" s="63">
        <v>401101</v>
      </c>
      <c r="F7" s="64">
        <v>401103</v>
      </c>
      <c r="G7" s="65">
        <v>401106</v>
      </c>
      <c r="H7" s="66">
        <v>402101</v>
      </c>
      <c r="I7" s="67">
        <v>402103</v>
      </c>
      <c r="J7" s="68">
        <v>406110</v>
      </c>
      <c r="K7" s="69">
        <v>406120</v>
      </c>
      <c r="L7" s="70" t="s">
        <v>49</v>
      </c>
      <c r="M7" s="71" t="s">
        <v>50</v>
      </c>
      <c r="N7" s="72" t="s">
        <v>51</v>
      </c>
      <c r="O7" s="70" t="s">
        <v>52</v>
      </c>
      <c r="P7" s="67" t="s">
        <v>55</v>
      </c>
      <c r="Q7" s="68">
        <v>408101</v>
      </c>
      <c r="R7" s="71"/>
      <c r="S7" s="67">
        <v>415104</v>
      </c>
      <c r="T7" s="69">
        <v>415201</v>
      </c>
      <c r="U7" s="66">
        <v>415307</v>
      </c>
      <c r="V7" s="73"/>
      <c r="W7" s="73"/>
    </row>
    <row x14ac:dyDescent="0.25" r="8" customHeight="1" ht="17.25">
      <c r="A8" s="74" t="s">
        <v>56</v>
      </c>
      <c r="B8" s="74" t="s">
        <v>57</v>
      </c>
      <c r="C8" s="74" t="s">
        <v>58</v>
      </c>
      <c r="D8" s="75">
        <v>2024</v>
      </c>
      <c r="E8" s="76">
        <v>210894.393066406</v>
      </c>
      <c r="F8" s="76">
        <v>174424.675537109</v>
      </c>
      <c r="G8" s="22"/>
      <c r="H8" s="76">
        <v>127208.951538086</v>
      </c>
      <c r="I8" s="76">
        <v>110844.310668945</v>
      </c>
      <c r="J8" s="29"/>
      <c r="K8" s="75">
        <v>1625</v>
      </c>
      <c r="L8" s="75">
        <v>46982</v>
      </c>
      <c r="M8" s="76">
        <v>25250.690158844</v>
      </c>
      <c r="N8" s="76">
        <v>119663.709915161</v>
      </c>
      <c r="O8" s="76">
        <v>61653.2596588135</v>
      </c>
      <c r="P8" s="22"/>
      <c r="Q8" s="76">
        <v>5634.8701171875</v>
      </c>
      <c r="R8" s="76">
        <v>91865.8600769043</v>
      </c>
      <c r="S8" s="75">
        <v>5625</v>
      </c>
      <c r="T8" s="76">
        <v>12536.2100830078</v>
      </c>
      <c r="U8" s="76">
        <v>32858.1298828125</v>
      </c>
      <c r="V8" s="75">
        <v>58640</v>
      </c>
      <c r="W8" s="76">
        <v>74197.3200683594</v>
      </c>
    </row>
    <row x14ac:dyDescent="0.25" r="9" customHeight="1" ht="17.25">
      <c r="A9" s="74" t="s">
        <v>56</v>
      </c>
      <c r="B9" s="74" t="s">
        <v>57</v>
      </c>
      <c r="C9" s="74" t="s">
        <v>58</v>
      </c>
      <c r="D9" s="75">
        <v>2025</v>
      </c>
      <c r="E9" s="76">
        <v>352442.927734375</v>
      </c>
      <c r="F9" s="76">
        <v>203973.250976563</v>
      </c>
      <c r="G9" s="22"/>
      <c r="H9" s="76">
        <v>177618.625488281</v>
      </c>
      <c r="I9" s="76">
        <v>118986.961181641</v>
      </c>
      <c r="J9" s="29"/>
      <c r="K9" s="76">
        <v>4907.5</v>
      </c>
      <c r="L9" s="75">
        <v>144586</v>
      </c>
      <c r="M9" s="76">
        <v>64057.6109924316</v>
      </c>
      <c r="N9" s="76">
        <v>322359.864379883</v>
      </c>
      <c r="O9" s="76">
        <v>263769.021713257</v>
      </c>
      <c r="P9" s="22"/>
      <c r="Q9" s="75">
        <v>1850</v>
      </c>
      <c r="R9" s="76">
        <v>180473.353546143</v>
      </c>
      <c r="S9" s="76">
        <v>8437.5</v>
      </c>
      <c r="T9" s="76">
        <v>22220.6699829102</v>
      </c>
      <c r="U9" s="76">
        <v>55029.1505126953</v>
      </c>
      <c r="V9" s="75">
        <v>255765</v>
      </c>
      <c r="W9" s="76">
        <v>184018.582519531</v>
      </c>
    </row>
    <row x14ac:dyDescent="0.25" r="10" customHeight="1" ht="17.25">
      <c r="A10" s="74" t="s">
        <v>56</v>
      </c>
      <c r="B10" s="74" t="s">
        <v>57</v>
      </c>
      <c r="C10" s="74" t="s">
        <v>58</v>
      </c>
      <c r="D10" s="77" t="s">
        <v>59</v>
      </c>
      <c r="E10" s="78">
        <v>0.67</v>
      </c>
      <c r="F10" s="78">
        <v>0.17</v>
      </c>
      <c r="G10" s="77" t="s">
        <v>60</v>
      </c>
      <c r="H10" s="78">
        <v>0.4</v>
      </c>
      <c r="I10" s="78">
        <v>0.07</v>
      </c>
      <c r="J10" s="79" t="s">
        <v>60</v>
      </c>
      <c r="K10" s="78">
        <v>2.02</v>
      </c>
      <c r="L10" s="78">
        <v>2.08</v>
      </c>
      <c r="M10" s="78">
        <v>1.54</v>
      </c>
      <c r="N10" s="78">
        <v>1.69</v>
      </c>
      <c r="O10" s="78">
        <v>3.28</v>
      </c>
      <c r="P10" s="77" t="s">
        <v>60</v>
      </c>
      <c r="Q10" s="78">
        <v>-0.67</v>
      </c>
      <c r="R10" s="78">
        <v>0.96</v>
      </c>
      <c r="S10" s="78">
        <v>0.5</v>
      </c>
      <c r="T10" s="78">
        <v>0.77</v>
      </c>
      <c r="U10" s="78">
        <v>0.67</v>
      </c>
      <c r="V10" s="78">
        <v>3.36</v>
      </c>
      <c r="W10" s="78">
        <v>1.48</v>
      </c>
    </row>
    <row x14ac:dyDescent="0.25" r="11" customHeight="1" ht="17.25">
      <c r="A11" s="74" t="s">
        <v>56</v>
      </c>
      <c r="B11" s="74" t="s">
        <v>61</v>
      </c>
      <c r="C11" s="74" t="s">
        <v>62</v>
      </c>
      <c r="D11" s="75">
        <v>2024</v>
      </c>
      <c r="E11" s="76">
        <v>3773639.60900879</v>
      </c>
      <c r="F11" s="76">
        <v>3399559.60949707</v>
      </c>
      <c r="G11" s="22"/>
      <c r="H11" s="76">
        <v>1838023.45928955</v>
      </c>
      <c r="I11" s="76">
        <v>1433846.84844971</v>
      </c>
      <c r="J11" s="75">
        <v>1340</v>
      </c>
      <c r="K11" s="76">
        <v>71727.5</v>
      </c>
      <c r="L11" s="76">
        <v>1666001.92007446</v>
      </c>
      <c r="M11" s="76">
        <v>194943.030235291</v>
      </c>
      <c r="N11" s="76">
        <v>2255171.28013611</v>
      </c>
      <c r="O11" s="76">
        <v>2640302.86934662</v>
      </c>
      <c r="P11" s="22"/>
      <c r="Q11" s="76">
        <v>37954.3994140625</v>
      </c>
      <c r="R11" s="76">
        <v>1631768.30540657</v>
      </c>
      <c r="S11" s="75">
        <v>55305</v>
      </c>
      <c r="T11" s="76">
        <v>321812.328979492</v>
      </c>
      <c r="U11" s="76">
        <v>354097.88458252</v>
      </c>
      <c r="V11" s="76">
        <v>1458449.5</v>
      </c>
      <c r="W11" s="76">
        <v>760759.989440918</v>
      </c>
    </row>
    <row x14ac:dyDescent="0.25" r="12" customHeight="1" ht="17.25">
      <c r="A12" s="74" t="s">
        <v>56</v>
      </c>
      <c r="B12" s="74" t="s">
        <v>61</v>
      </c>
      <c r="C12" s="74" t="s">
        <v>62</v>
      </c>
      <c r="D12" s="75">
        <v>2025</v>
      </c>
      <c r="E12" s="76">
        <v>3325885.18261719</v>
      </c>
      <c r="F12" s="76">
        <v>2870292.59155273</v>
      </c>
      <c r="G12" s="22"/>
      <c r="H12" s="76">
        <v>1700728.63818359</v>
      </c>
      <c r="I12" s="76">
        <v>1234007.77481079</v>
      </c>
      <c r="J12" s="75">
        <v>402</v>
      </c>
      <c r="K12" s="75">
        <v>49465</v>
      </c>
      <c r="L12" s="76">
        <v>1858807.5</v>
      </c>
      <c r="M12" s="76">
        <v>223747.866746902</v>
      </c>
      <c r="N12" s="76">
        <v>1641900.19952393</v>
      </c>
      <c r="O12" s="76">
        <v>2470406.8511076</v>
      </c>
      <c r="P12" s="22"/>
      <c r="Q12" s="76">
        <v>27389.169921875</v>
      </c>
      <c r="R12" s="76">
        <v>2027306.8270874</v>
      </c>
      <c r="S12" s="76">
        <v>30588.75</v>
      </c>
      <c r="T12" s="76">
        <v>192169.558563232</v>
      </c>
      <c r="U12" s="76">
        <v>252508.15234375</v>
      </c>
      <c r="V12" s="76">
        <v>1875471.4375</v>
      </c>
      <c r="W12" s="76">
        <v>882458.646606445</v>
      </c>
    </row>
    <row x14ac:dyDescent="0.25" r="13" customHeight="1" ht="17.25">
      <c r="A13" s="74" t="s">
        <v>56</v>
      </c>
      <c r="B13" s="74" t="s">
        <v>61</v>
      </c>
      <c r="C13" s="74" t="s">
        <v>62</v>
      </c>
      <c r="D13" s="77" t="s">
        <v>59</v>
      </c>
      <c r="E13" s="78">
        <v>-0.12</v>
      </c>
      <c r="F13" s="78">
        <v>-0.16</v>
      </c>
      <c r="G13" s="77" t="s">
        <v>60</v>
      </c>
      <c r="H13" s="78">
        <v>-0.07</v>
      </c>
      <c r="I13" s="78">
        <v>-0.14</v>
      </c>
      <c r="J13" s="78">
        <v>-0.7</v>
      </c>
      <c r="K13" s="78">
        <v>-0.31</v>
      </c>
      <c r="L13" s="78">
        <v>0.12</v>
      </c>
      <c r="M13" s="78">
        <v>0.15</v>
      </c>
      <c r="N13" s="78">
        <v>-0.27</v>
      </c>
      <c r="O13" s="78">
        <v>-0.06</v>
      </c>
      <c r="P13" s="77" t="s">
        <v>60</v>
      </c>
      <c r="Q13" s="78">
        <v>-0.28</v>
      </c>
      <c r="R13" s="78">
        <v>0.24</v>
      </c>
      <c r="S13" s="78">
        <v>-0.45</v>
      </c>
      <c r="T13" s="78">
        <v>-0.4</v>
      </c>
      <c r="U13" s="78">
        <v>-0.29</v>
      </c>
      <c r="V13" s="78">
        <v>0.29</v>
      </c>
      <c r="W13" s="78">
        <v>0.16</v>
      </c>
    </row>
    <row x14ac:dyDescent="0.25" r="14" customHeight="1" ht="17.25">
      <c r="A14" s="74" t="s">
        <v>56</v>
      </c>
      <c r="B14" s="74" t="s">
        <v>63</v>
      </c>
      <c r="C14" s="74" t="s">
        <v>64</v>
      </c>
      <c r="D14" s="75">
        <v>2024</v>
      </c>
      <c r="E14" s="76">
        <v>2361442.5703125</v>
      </c>
      <c r="F14" s="76">
        <v>1682516.91015625</v>
      </c>
      <c r="G14" s="22"/>
      <c r="H14" s="76">
        <v>1341577.046875</v>
      </c>
      <c r="I14" s="76">
        <v>819300.860390663</v>
      </c>
      <c r="J14" s="75">
        <v>1340</v>
      </c>
      <c r="K14" s="76">
        <v>206602.5</v>
      </c>
      <c r="L14" s="75">
        <v>1769508</v>
      </c>
      <c r="M14" s="76">
        <v>122577.429214478</v>
      </c>
      <c r="N14" s="76">
        <v>1945728.67230368</v>
      </c>
      <c r="O14" s="76">
        <v>536898.072814941</v>
      </c>
      <c r="P14" s="22"/>
      <c r="Q14" s="76">
        <v>91580.30078125</v>
      </c>
      <c r="R14" s="76">
        <v>2688525.95890617</v>
      </c>
      <c r="S14" s="76">
        <v>96448.5</v>
      </c>
      <c r="T14" s="76">
        <v>584385.587768555</v>
      </c>
      <c r="U14" s="29"/>
      <c r="V14" s="76">
        <v>958767.490234375</v>
      </c>
      <c r="W14" s="76">
        <v>348000.454956055</v>
      </c>
    </row>
    <row x14ac:dyDescent="0.25" r="15" customHeight="1" ht="17.25">
      <c r="A15" s="74" t="s">
        <v>56</v>
      </c>
      <c r="B15" s="74" t="s">
        <v>63</v>
      </c>
      <c r="C15" s="74" t="s">
        <v>64</v>
      </c>
      <c r="D15" s="75">
        <v>2025</v>
      </c>
      <c r="E15" s="76">
        <v>2203582.26171875</v>
      </c>
      <c r="F15" s="76">
        <v>1470040.109375</v>
      </c>
      <c r="G15" s="22"/>
      <c r="H15" s="76">
        <v>1185298.24804688</v>
      </c>
      <c r="I15" s="76">
        <v>709663.229492188</v>
      </c>
      <c r="J15" s="29"/>
      <c r="K15" s="76">
        <v>233772.5</v>
      </c>
      <c r="L15" s="75">
        <v>1999946</v>
      </c>
      <c r="M15" s="76">
        <v>198908.970375061</v>
      </c>
      <c r="N15" s="76">
        <v>1433780.19613647</v>
      </c>
      <c r="O15" s="76">
        <v>434722.667336464</v>
      </c>
      <c r="P15" s="22"/>
      <c r="Q15" s="76">
        <v>77092.591796875</v>
      </c>
      <c r="R15" s="76">
        <v>3144071.09663391</v>
      </c>
      <c r="S15" s="76">
        <v>40297.5</v>
      </c>
      <c r="T15" s="76">
        <v>308807.10925293</v>
      </c>
      <c r="U15" s="29"/>
      <c r="V15" s="76">
        <v>1100072.66992188</v>
      </c>
      <c r="W15" s="76">
        <v>480764.448608398</v>
      </c>
    </row>
    <row x14ac:dyDescent="0.25" r="16" customHeight="1" ht="17.25">
      <c r="A16" s="74" t="s">
        <v>56</v>
      </c>
      <c r="B16" s="74" t="s">
        <v>63</v>
      </c>
      <c r="C16" s="74" t="s">
        <v>64</v>
      </c>
      <c r="D16" s="77" t="s">
        <v>59</v>
      </c>
      <c r="E16" s="78">
        <v>-0.07</v>
      </c>
      <c r="F16" s="78">
        <v>-0.13</v>
      </c>
      <c r="G16" s="77" t="s">
        <v>60</v>
      </c>
      <c r="H16" s="78">
        <v>-0.12</v>
      </c>
      <c r="I16" s="78">
        <v>-0.13</v>
      </c>
      <c r="J16" s="78">
        <v>-1</v>
      </c>
      <c r="K16" s="78">
        <v>0.13</v>
      </c>
      <c r="L16" s="78">
        <v>0.13</v>
      </c>
      <c r="M16" s="78">
        <v>0.62</v>
      </c>
      <c r="N16" s="78">
        <v>-0.26</v>
      </c>
      <c r="O16" s="78">
        <v>-0.19</v>
      </c>
      <c r="P16" s="77" t="s">
        <v>60</v>
      </c>
      <c r="Q16" s="78">
        <v>-0.16</v>
      </c>
      <c r="R16" s="78">
        <v>0.17</v>
      </c>
      <c r="S16" s="78">
        <v>-0.58</v>
      </c>
      <c r="T16" s="78">
        <v>-0.47</v>
      </c>
      <c r="U16" s="79" t="s">
        <v>60</v>
      </c>
      <c r="V16" s="78">
        <v>0.15</v>
      </c>
      <c r="W16" s="78">
        <v>0.38</v>
      </c>
    </row>
    <row x14ac:dyDescent="0.25" r="17" customHeight="1" ht="17.25">
      <c r="A17" s="74" t="s">
        <v>56</v>
      </c>
      <c r="B17" s="74" t="s">
        <v>65</v>
      </c>
      <c r="C17" s="74" t="s">
        <v>65</v>
      </c>
      <c r="D17" s="75">
        <v>2024</v>
      </c>
      <c r="E17" s="76">
        <v>251.510004043579</v>
      </c>
      <c r="F17" s="76">
        <v>42968.2899017334</v>
      </c>
      <c r="G17" s="22"/>
      <c r="H17" s="76">
        <v>202.750004053116</v>
      </c>
      <c r="I17" s="76">
        <v>31132.1998920441</v>
      </c>
      <c r="J17" s="29"/>
      <c r="K17" s="29"/>
      <c r="L17" s="76">
        <v>132.719993591309</v>
      </c>
      <c r="M17" s="76">
        <v>22986.8298835754</v>
      </c>
      <c r="N17" s="76">
        <v>211118.390799522</v>
      </c>
      <c r="O17" s="76">
        <v>242.620000839233</v>
      </c>
      <c r="P17" s="22"/>
      <c r="Q17" s="76">
        <v>95.5700006484985</v>
      </c>
      <c r="R17" s="76">
        <v>703.449990272522</v>
      </c>
      <c r="S17" s="29"/>
      <c r="T17" s="29"/>
      <c r="U17" s="75">
        <v>32125</v>
      </c>
      <c r="V17" s="76">
        <v>236.839995384216</v>
      </c>
      <c r="W17" s="76">
        <v>94.8099998235703</v>
      </c>
    </row>
    <row x14ac:dyDescent="0.25" r="18" customHeight="1" ht="17.25">
      <c r="A18" s="74" t="s">
        <v>56</v>
      </c>
      <c r="B18" s="74" t="s">
        <v>65</v>
      </c>
      <c r="C18" s="74" t="s">
        <v>65</v>
      </c>
      <c r="D18" s="75">
        <v>2025</v>
      </c>
      <c r="E18" s="76">
        <v>23022.0708661079</v>
      </c>
      <c r="F18" s="76">
        <v>72694.1785049438</v>
      </c>
      <c r="G18" s="22"/>
      <c r="H18" s="76">
        <v>12685.7700018883</v>
      </c>
      <c r="I18" s="76">
        <v>29253.1792087555</v>
      </c>
      <c r="J18" s="29"/>
      <c r="K18" s="29"/>
      <c r="L18" s="76">
        <v>5501.7200088501</v>
      </c>
      <c r="M18" s="76">
        <v>21621.3703205585</v>
      </c>
      <c r="N18" s="76">
        <v>241754.55607605</v>
      </c>
      <c r="O18" s="76">
        <v>697.849996566772</v>
      </c>
      <c r="P18" s="22"/>
      <c r="Q18" s="76">
        <v>50.0699996948242</v>
      </c>
      <c r="R18" s="76">
        <v>15665.2500286102</v>
      </c>
      <c r="S18" s="29"/>
      <c r="T18" s="76">
        <v>7083.33990478516</v>
      </c>
      <c r="U18" s="76">
        <v>36541.6698608398</v>
      </c>
      <c r="V18" s="76">
        <v>54529.2099618912</v>
      </c>
      <c r="W18" s="76">
        <v>33557.6294717789</v>
      </c>
    </row>
    <row x14ac:dyDescent="0.25" r="19" customHeight="1" ht="17.25">
      <c r="A19" s="74" t="s">
        <v>56</v>
      </c>
      <c r="B19" s="74" t="s">
        <v>65</v>
      </c>
      <c r="C19" s="74" t="s">
        <v>65</v>
      </c>
      <c r="D19" s="77" t="s">
        <v>59</v>
      </c>
      <c r="E19" s="79" t="s">
        <v>66</v>
      </c>
      <c r="F19" s="78">
        <v>0.69</v>
      </c>
      <c r="G19" s="77" t="s">
        <v>60</v>
      </c>
      <c r="H19" s="79" t="s">
        <v>67</v>
      </c>
      <c r="I19" s="78">
        <v>-0.06</v>
      </c>
      <c r="J19" s="79" t="s">
        <v>60</v>
      </c>
      <c r="K19" s="79" t="s">
        <v>60</v>
      </c>
      <c r="L19" s="79" t="s">
        <v>68</v>
      </c>
      <c r="M19" s="78">
        <v>-0.06</v>
      </c>
      <c r="N19" s="78">
        <v>0.15</v>
      </c>
      <c r="O19" s="78">
        <v>1.88</v>
      </c>
      <c r="P19" s="77" t="s">
        <v>60</v>
      </c>
      <c r="Q19" s="78">
        <v>-0.48</v>
      </c>
      <c r="R19" s="79" t="s">
        <v>69</v>
      </c>
      <c r="S19" s="79" t="s">
        <v>60</v>
      </c>
      <c r="T19" s="79" t="s">
        <v>60</v>
      </c>
      <c r="U19" s="78">
        <v>0.14</v>
      </c>
      <c r="V19" s="79" t="s">
        <v>70</v>
      </c>
      <c r="W19" s="79" t="s">
        <v>71</v>
      </c>
    </row>
    <row x14ac:dyDescent="0.25" r="20" customHeight="1" ht="17.25">
      <c r="A20" s="74" t="s">
        <v>56</v>
      </c>
      <c r="B20" s="74" t="s">
        <v>72</v>
      </c>
      <c r="C20" s="74" t="s">
        <v>73</v>
      </c>
      <c r="D20" s="75">
        <v>2024</v>
      </c>
      <c r="E20" s="76">
        <v>171844.8515625</v>
      </c>
      <c r="F20" s="76">
        <v>147358.73046875</v>
      </c>
      <c r="G20" s="22"/>
      <c r="H20" s="76">
        <v>90279.7099609375</v>
      </c>
      <c r="I20" s="76">
        <v>79904.1881103516</v>
      </c>
      <c r="J20" s="76">
        <v>1452.38999938965</v>
      </c>
      <c r="K20" s="76">
        <v>7961.26995849609</v>
      </c>
      <c r="L20" s="76">
        <v>75313.6107177734</v>
      </c>
      <c r="M20" s="76">
        <v>28995.6901931763</v>
      </c>
      <c r="N20" s="76">
        <v>10033.3300774097</v>
      </c>
      <c r="O20" s="76">
        <v>352791.956420422</v>
      </c>
      <c r="P20" s="22"/>
      <c r="Q20" s="75">
        <v>9321</v>
      </c>
      <c r="R20" s="76">
        <v>106880.910505295</v>
      </c>
      <c r="S20" s="76">
        <v>4906.58993530273</v>
      </c>
      <c r="T20" s="76">
        <v>22168.4500370026</v>
      </c>
      <c r="U20" s="76">
        <v>30540.9701080322</v>
      </c>
      <c r="V20" s="76">
        <v>94861.630859375</v>
      </c>
      <c r="W20" s="76">
        <v>56944.9096221924</v>
      </c>
    </row>
    <row x14ac:dyDescent="0.25" r="21" customHeight="1" ht="17.25">
      <c r="A21" s="74" t="s">
        <v>56</v>
      </c>
      <c r="B21" s="74" t="s">
        <v>72</v>
      </c>
      <c r="C21" s="74" t="s">
        <v>74</v>
      </c>
      <c r="D21" s="75">
        <v>2025</v>
      </c>
      <c r="E21" s="76">
        <v>146375.303222656</v>
      </c>
      <c r="F21" s="76">
        <v>112763.98034668</v>
      </c>
      <c r="G21" s="22"/>
      <c r="H21" s="76">
        <v>76035.2097167969</v>
      </c>
      <c r="I21" s="76">
        <v>61424.6399536133</v>
      </c>
      <c r="J21" s="76">
        <v>6399.98010253906</v>
      </c>
      <c r="K21" s="76">
        <v>8302.83003234863</v>
      </c>
      <c r="L21" s="76">
        <v>66891.2896957397</v>
      </c>
      <c r="M21" s="76">
        <v>27084.6801996231</v>
      </c>
      <c r="N21" s="76">
        <v>26912.8097553253</v>
      </c>
      <c r="O21" s="76">
        <v>302099.820690155</v>
      </c>
      <c r="P21" s="22"/>
      <c r="Q21" s="75">
        <v>8515</v>
      </c>
      <c r="R21" s="76">
        <v>135408.769598007</v>
      </c>
      <c r="S21" s="76">
        <v>4560.63990020752</v>
      </c>
      <c r="T21" s="76">
        <v>23171.8096923828</v>
      </c>
      <c r="U21" s="76">
        <v>24989.1899261475</v>
      </c>
      <c r="V21" s="76">
        <v>73137.3296356201</v>
      </c>
      <c r="W21" s="76">
        <v>53101.910697937</v>
      </c>
    </row>
    <row x14ac:dyDescent="0.25" r="22" customHeight="1" ht="17.25">
      <c r="A22" s="74" t="s">
        <v>56</v>
      </c>
      <c r="B22" s="74" t="s">
        <v>72</v>
      </c>
      <c r="C22" s="74" t="s">
        <v>74</v>
      </c>
      <c r="D22" s="77" t="s">
        <v>59</v>
      </c>
      <c r="E22" s="78">
        <v>-0.15</v>
      </c>
      <c r="F22" s="78">
        <v>-0.23</v>
      </c>
      <c r="G22" s="77" t="s">
        <v>60</v>
      </c>
      <c r="H22" s="78">
        <v>-0.16</v>
      </c>
      <c r="I22" s="78">
        <v>-0.23</v>
      </c>
      <c r="J22" s="78">
        <v>3.41</v>
      </c>
      <c r="K22" s="78">
        <v>0.04</v>
      </c>
      <c r="L22" s="78">
        <v>-0.11</v>
      </c>
      <c r="M22" s="78">
        <v>-0.07</v>
      </c>
      <c r="N22" s="78">
        <v>1.68</v>
      </c>
      <c r="O22" s="78">
        <v>-0.14</v>
      </c>
      <c r="P22" s="77" t="s">
        <v>60</v>
      </c>
      <c r="Q22" s="78">
        <v>-0.09</v>
      </c>
      <c r="R22" s="78">
        <v>0.27</v>
      </c>
      <c r="S22" s="78">
        <v>-0.07</v>
      </c>
      <c r="T22" s="78">
        <v>0.05</v>
      </c>
      <c r="U22" s="78">
        <v>-0.18</v>
      </c>
      <c r="V22" s="78">
        <v>-0.23</v>
      </c>
      <c r="W22" s="78">
        <v>-0.07</v>
      </c>
    </row>
    <row x14ac:dyDescent="0.25" r="23" customHeight="1" ht="17.25">
      <c r="A23" s="74" t="s">
        <v>56</v>
      </c>
      <c r="B23" s="74" t="s">
        <v>75</v>
      </c>
      <c r="C23" s="74" t="s">
        <v>76</v>
      </c>
      <c r="D23" s="75">
        <v>2024</v>
      </c>
      <c r="E23" s="76">
        <v>637.690002441406</v>
      </c>
      <c r="F23" s="76">
        <v>155.059997558594</v>
      </c>
      <c r="G23" s="22"/>
      <c r="H23" s="76">
        <v>528.570007324219</v>
      </c>
      <c r="I23" s="76">
        <v>268.419998168945</v>
      </c>
      <c r="J23" s="29"/>
      <c r="K23" s="29"/>
      <c r="L23" s="76">
        <v>1083.25999450684</v>
      </c>
      <c r="M23" s="76">
        <v>897.75</v>
      </c>
      <c r="N23" s="29"/>
      <c r="O23" s="76">
        <v>1977.6699886322</v>
      </c>
      <c r="P23" s="22"/>
      <c r="Q23" s="29"/>
      <c r="R23" s="76">
        <v>1411.64000511169</v>
      </c>
      <c r="S23" s="29"/>
      <c r="T23" s="29"/>
      <c r="U23" s="29"/>
      <c r="V23" s="76">
        <v>1452.32002258301</v>
      </c>
      <c r="W23" s="76">
        <v>220.360004425049</v>
      </c>
    </row>
    <row x14ac:dyDescent="0.25" r="24" customHeight="1" ht="17.25">
      <c r="A24" s="74" t="s">
        <v>56</v>
      </c>
      <c r="B24" s="74" t="s">
        <v>75</v>
      </c>
      <c r="C24" s="74" t="s">
        <v>76</v>
      </c>
      <c r="D24" s="75">
        <v>2025</v>
      </c>
      <c r="E24" s="76">
        <v>2674.56005859375</v>
      </c>
      <c r="F24" s="76">
        <v>2585.71008300781</v>
      </c>
      <c r="G24" s="22"/>
      <c r="H24" s="76">
        <v>1650.00006103516</v>
      </c>
      <c r="I24" s="76">
        <v>1825.93995666504</v>
      </c>
      <c r="J24" s="76">
        <v>379.999984741211</v>
      </c>
      <c r="K24" s="76">
        <v>68.3399963378906</v>
      </c>
      <c r="L24" s="76">
        <v>1029.04999160767</v>
      </c>
      <c r="M24" s="76">
        <v>241.530003547668</v>
      </c>
      <c r="N24" s="76">
        <v>669.179992675781</v>
      </c>
      <c r="O24" s="76">
        <v>3834.24000871181</v>
      </c>
      <c r="P24" s="22"/>
      <c r="Q24" s="76">
        <v>360.75</v>
      </c>
      <c r="R24" s="76">
        <v>1845.23996353149</v>
      </c>
      <c r="S24" s="76">
        <v>91.6700000762939</v>
      </c>
      <c r="T24" s="76">
        <v>314.170000076294</v>
      </c>
      <c r="U24" s="75">
        <v>1133</v>
      </c>
      <c r="V24" s="76">
        <v>928.410003662109</v>
      </c>
      <c r="W24" s="76">
        <v>1743.16998291016</v>
      </c>
    </row>
    <row x14ac:dyDescent="0.25" r="25" customHeight="1" ht="17.25">
      <c r="A25" s="74" t="s">
        <v>56</v>
      </c>
      <c r="B25" s="74" t="s">
        <v>75</v>
      </c>
      <c r="C25" s="74" t="s">
        <v>76</v>
      </c>
      <c r="D25" s="77" t="s">
        <v>59</v>
      </c>
      <c r="E25" s="78">
        <v>3.19</v>
      </c>
      <c r="F25" s="79" t="s">
        <v>77</v>
      </c>
      <c r="G25" s="77" t="s">
        <v>60</v>
      </c>
      <c r="H25" s="78">
        <v>2.12</v>
      </c>
      <c r="I25" s="78">
        <v>5.8</v>
      </c>
      <c r="J25" s="79" t="s">
        <v>60</v>
      </c>
      <c r="K25" s="79" t="s">
        <v>60</v>
      </c>
      <c r="L25" s="78">
        <v>-0.05</v>
      </c>
      <c r="M25" s="78">
        <v>-0.73</v>
      </c>
      <c r="N25" s="79" t="s">
        <v>60</v>
      </c>
      <c r="O25" s="78">
        <v>0.94</v>
      </c>
      <c r="P25" s="77" t="s">
        <v>60</v>
      </c>
      <c r="Q25" s="79" t="s">
        <v>60</v>
      </c>
      <c r="R25" s="78">
        <v>0.31</v>
      </c>
      <c r="S25" s="79" t="s">
        <v>60</v>
      </c>
      <c r="T25" s="79" t="s">
        <v>60</v>
      </c>
      <c r="U25" s="79" t="s">
        <v>60</v>
      </c>
      <c r="V25" s="78">
        <v>-0.36</v>
      </c>
      <c r="W25" s="78">
        <v>6.91</v>
      </c>
    </row>
    <row x14ac:dyDescent="0.25" r="26" customHeight="1" ht="17.25">
      <c r="A26" s="74" t="s">
        <v>56</v>
      </c>
      <c r="B26" s="74" t="s">
        <v>78</v>
      </c>
      <c r="C26" s="74" t="s">
        <v>79</v>
      </c>
      <c r="D26" s="75">
        <v>2024</v>
      </c>
      <c r="E26" s="76">
        <v>203235.7578125</v>
      </c>
      <c r="F26" s="76">
        <v>123033.587890625</v>
      </c>
      <c r="G26" s="22"/>
      <c r="H26" s="76">
        <v>87393.2001953125</v>
      </c>
      <c r="I26" s="76">
        <v>64964.2905273438</v>
      </c>
      <c r="J26" s="76">
        <v>-34.5800018310547</v>
      </c>
      <c r="K26" s="76">
        <v>11378.0202026367</v>
      </c>
      <c r="L26" s="76">
        <v>98062.4393310547</v>
      </c>
      <c r="M26" s="76">
        <v>36294.2391967773</v>
      </c>
      <c r="N26" s="76">
        <v>24390.4599926379</v>
      </c>
      <c r="O26" s="76">
        <v>486183.830738068</v>
      </c>
      <c r="P26" s="22"/>
      <c r="Q26" s="76">
        <v>14137.5</v>
      </c>
      <c r="R26" s="76">
        <v>161971.511508942</v>
      </c>
      <c r="S26" s="76">
        <v>6325.32015991211</v>
      </c>
      <c r="T26" s="76">
        <v>15461.9698028564</v>
      </c>
      <c r="U26" s="76">
        <v>25352.8300018311</v>
      </c>
      <c r="V26" s="76">
        <v>87011.9700927734</v>
      </c>
      <c r="W26" s="76">
        <v>44915.8607215881</v>
      </c>
    </row>
    <row x14ac:dyDescent="0.25" r="27" customHeight="1" ht="17.25">
      <c r="A27" s="74" t="s">
        <v>56</v>
      </c>
      <c r="B27" s="74" t="s">
        <v>78</v>
      </c>
      <c r="C27" s="74" t="s">
        <v>79</v>
      </c>
      <c r="D27" s="75">
        <v>2025</v>
      </c>
      <c r="E27" s="76">
        <v>168013.317871094</v>
      </c>
      <c r="F27" s="76">
        <v>109020.169433594</v>
      </c>
      <c r="G27" s="22"/>
      <c r="H27" s="76">
        <v>81707.4982910156</v>
      </c>
      <c r="I27" s="76">
        <v>59542.2196960449</v>
      </c>
      <c r="J27" s="76">
        <v>4338.31991577148</v>
      </c>
      <c r="K27" s="76">
        <v>9977.04013061523</v>
      </c>
      <c r="L27" s="76">
        <v>86121.3404693604</v>
      </c>
      <c r="M27" s="76">
        <v>37538.0798568726</v>
      </c>
      <c r="N27" s="76">
        <v>10233.050122261</v>
      </c>
      <c r="O27" s="76">
        <v>267663.859873056</v>
      </c>
      <c r="P27" s="22"/>
      <c r="Q27" s="76">
        <v>13152.75</v>
      </c>
      <c r="R27" s="76">
        <v>179090.131166458</v>
      </c>
      <c r="S27" s="76">
        <v>5133.62992858887</v>
      </c>
      <c r="T27" s="76">
        <v>9697.13990020752</v>
      </c>
      <c r="U27" s="76">
        <v>24338.8300170898</v>
      </c>
      <c r="V27" s="76">
        <v>105834.487365723</v>
      </c>
      <c r="W27" s="76">
        <v>7368.26007556915</v>
      </c>
    </row>
    <row x14ac:dyDescent="0.25" r="28" customHeight="1" ht="17.25">
      <c r="A28" s="74" t="s">
        <v>56</v>
      </c>
      <c r="B28" s="74" t="s">
        <v>78</v>
      </c>
      <c r="C28" s="74" t="s">
        <v>79</v>
      </c>
      <c r="D28" s="77" t="s">
        <v>59</v>
      </c>
      <c r="E28" s="78">
        <v>-0.17</v>
      </c>
      <c r="F28" s="78">
        <v>-0.11</v>
      </c>
      <c r="G28" s="77" t="s">
        <v>60</v>
      </c>
      <c r="H28" s="78">
        <v>-0.07</v>
      </c>
      <c r="I28" s="78">
        <v>-0.08</v>
      </c>
      <c r="J28" s="79" t="s">
        <v>80</v>
      </c>
      <c r="K28" s="78">
        <v>-0.12</v>
      </c>
      <c r="L28" s="78">
        <v>-0.12</v>
      </c>
      <c r="M28" s="78">
        <v>0.03</v>
      </c>
      <c r="N28" s="78">
        <v>-0.58</v>
      </c>
      <c r="O28" s="78">
        <v>-0.45</v>
      </c>
      <c r="P28" s="77" t="s">
        <v>60</v>
      </c>
      <c r="Q28" s="78">
        <v>-0.07</v>
      </c>
      <c r="R28" s="78">
        <v>0.11</v>
      </c>
      <c r="S28" s="78">
        <v>-0.19</v>
      </c>
      <c r="T28" s="78">
        <v>-0.37</v>
      </c>
      <c r="U28" s="78">
        <v>-0.04</v>
      </c>
      <c r="V28" s="78">
        <v>0.22</v>
      </c>
      <c r="W28" s="78">
        <v>-0.84</v>
      </c>
    </row>
    <row x14ac:dyDescent="0.25" r="29" customHeight="1" ht="17.25">
      <c r="A29" s="74" t="s">
        <v>56</v>
      </c>
      <c r="B29" s="74" t="s">
        <v>81</v>
      </c>
      <c r="C29" s="74" t="s">
        <v>82</v>
      </c>
      <c r="D29" s="75">
        <v>2024</v>
      </c>
      <c r="E29" s="76">
        <v>3523.5400390625</v>
      </c>
      <c r="F29" s="76">
        <v>1856.63000488281</v>
      </c>
      <c r="G29" s="22"/>
      <c r="H29" s="76">
        <v>2566.36010742188</v>
      </c>
      <c r="I29" s="75">
        <v>1199</v>
      </c>
      <c r="J29" s="76">
        <v>69.1600036621094</v>
      </c>
      <c r="K29" s="76">
        <v>-102.5</v>
      </c>
      <c r="L29" s="76">
        <v>1543.63000488281</v>
      </c>
      <c r="M29" s="75">
        <v>231</v>
      </c>
      <c r="N29" s="76">
        <v>120.349990844727</v>
      </c>
      <c r="O29" s="76">
        <v>1239.44995498657</v>
      </c>
      <c r="P29" s="22"/>
      <c r="Q29" s="76">
        <v>422.5</v>
      </c>
      <c r="R29" s="76">
        <v>2561.11995124817</v>
      </c>
      <c r="S29" s="76">
        <v>114.589996337891</v>
      </c>
      <c r="T29" s="76">
        <v>31.6700000762939</v>
      </c>
      <c r="U29" s="75">
        <v>319</v>
      </c>
      <c r="V29" s="76">
        <v>1840.4599609375</v>
      </c>
      <c r="W29" s="76">
        <v>1362.64994812012</v>
      </c>
    </row>
    <row x14ac:dyDescent="0.25" r="30" customHeight="1" ht="17.25">
      <c r="A30" s="74" t="s">
        <v>56</v>
      </c>
      <c r="B30" s="74" t="s">
        <v>81</v>
      </c>
      <c r="C30" s="74" t="s">
        <v>82</v>
      </c>
      <c r="D30" s="75">
        <v>2025</v>
      </c>
      <c r="E30" s="76">
        <v>12644.4400024414</v>
      </c>
      <c r="F30" s="76">
        <v>12081.6300048828</v>
      </c>
      <c r="G30" s="22"/>
      <c r="H30" s="76">
        <v>7707.87005996704</v>
      </c>
      <c r="I30" s="76">
        <v>5305.41993713379</v>
      </c>
      <c r="J30" s="76">
        <v>136.679992675781</v>
      </c>
      <c r="K30" s="76">
        <v>785.869995117188</v>
      </c>
      <c r="L30" s="76">
        <v>7907.83005905151</v>
      </c>
      <c r="M30" s="76">
        <v>2564.6600189209</v>
      </c>
      <c r="N30" s="76">
        <v>897.5299949646</v>
      </c>
      <c r="O30" s="76">
        <v>19179.3199996948</v>
      </c>
      <c r="P30" s="22"/>
      <c r="Q30" s="76">
        <v>1501.5</v>
      </c>
      <c r="R30" s="76">
        <v>22687.6500968933</v>
      </c>
      <c r="S30" s="76">
        <v>91.6700000762939</v>
      </c>
      <c r="T30" s="76">
        <v>188.330001831055</v>
      </c>
      <c r="U30" s="75">
        <v>275</v>
      </c>
      <c r="V30" s="76">
        <v>8316.419921875</v>
      </c>
      <c r="W30" s="76">
        <v>1952.7699432373</v>
      </c>
    </row>
    <row x14ac:dyDescent="0.25" r="31" customHeight="1" ht="17.25">
      <c r="A31" s="74" t="s">
        <v>56</v>
      </c>
      <c r="B31" s="74" t="s">
        <v>81</v>
      </c>
      <c r="C31" s="74" t="s">
        <v>82</v>
      </c>
      <c r="D31" s="77" t="s">
        <v>59</v>
      </c>
      <c r="E31" s="78">
        <v>2.59</v>
      </c>
      <c r="F31" s="78">
        <v>5.51</v>
      </c>
      <c r="G31" s="77" t="s">
        <v>60</v>
      </c>
      <c r="H31" s="78">
        <v>2</v>
      </c>
      <c r="I31" s="78">
        <v>3.42</v>
      </c>
      <c r="J31" s="78">
        <v>0.98</v>
      </c>
      <c r="K31" s="78">
        <v>-8.67</v>
      </c>
      <c r="L31" s="78">
        <v>4.12</v>
      </c>
      <c r="M31" s="79" t="s">
        <v>83</v>
      </c>
      <c r="N31" s="78">
        <v>6.46</v>
      </c>
      <c r="O31" s="79" t="s">
        <v>84</v>
      </c>
      <c r="P31" s="77" t="s">
        <v>60</v>
      </c>
      <c r="Q31" s="78">
        <v>2.55</v>
      </c>
      <c r="R31" s="78">
        <v>7.86</v>
      </c>
      <c r="S31" s="78">
        <v>-0.2</v>
      </c>
      <c r="T31" s="78">
        <v>4.95</v>
      </c>
      <c r="U31" s="78">
        <v>-0.14</v>
      </c>
      <c r="V31" s="78">
        <v>3.52</v>
      </c>
      <c r="W31" s="78">
        <v>0.43</v>
      </c>
    </row>
    <row x14ac:dyDescent="0.25" r="32" customHeight="1" ht="17.25">
      <c r="A32" s="74" t="s">
        <v>56</v>
      </c>
      <c r="B32" s="74" t="s">
        <v>85</v>
      </c>
      <c r="C32" s="74" t="s">
        <v>86</v>
      </c>
      <c r="D32" s="75">
        <v>2024</v>
      </c>
      <c r="E32" s="76">
        <v>127671.811035156</v>
      </c>
      <c r="F32" s="76">
        <v>67867.7915039063</v>
      </c>
      <c r="G32" s="22"/>
      <c r="H32" s="76">
        <v>60465.6079101563</v>
      </c>
      <c r="I32" s="76">
        <v>38652.4690551758</v>
      </c>
      <c r="J32" s="29"/>
      <c r="K32" s="76">
        <v>5227.65005493164</v>
      </c>
      <c r="L32" s="76">
        <v>61340.6604309082</v>
      </c>
      <c r="M32" s="76">
        <v>15046.0102033615</v>
      </c>
      <c r="N32" s="76">
        <v>142067.606063843</v>
      </c>
      <c r="O32" s="76">
        <v>203207.642723083</v>
      </c>
      <c r="P32" s="22"/>
      <c r="Q32" s="75">
        <v>11674</v>
      </c>
      <c r="R32" s="76">
        <v>114345.170349121</v>
      </c>
      <c r="S32" s="76">
        <v>1466.69999885559</v>
      </c>
      <c r="T32" s="76">
        <v>5824.24996185303</v>
      </c>
      <c r="U32" s="76">
        <v>512.660003662109</v>
      </c>
      <c r="V32" s="76">
        <v>56206.2004394531</v>
      </c>
      <c r="W32" s="76">
        <v>22562.4296150208</v>
      </c>
    </row>
    <row x14ac:dyDescent="0.25" r="33" customHeight="1" ht="17.25">
      <c r="A33" s="74" t="s">
        <v>56</v>
      </c>
      <c r="B33" s="74" t="s">
        <v>85</v>
      </c>
      <c r="C33" s="74" t="s">
        <v>86</v>
      </c>
      <c r="D33" s="75">
        <v>2025</v>
      </c>
      <c r="E33" s="76">
        <v>120848.598388672</v>
      </c>
      <c r="F33" s="76">
        <v>61560.7409667969</v>
      </c>
      <c r="G33" s="22"/>
      <c r="H33" s="76">
        <v>63955.78125</v>
      </c>
      <c r="I33" s="76">
        <v>36676.5903320313</v>
      </c>
      <c r="J33" s="76">
        <v>1025.05004882813</v>
      </c>
      <c r="K33" s="76">
        <v>5637.72001647949</v>
      </c>
      <c r="L33" s="76">
        <v>76967.0707244873</v>
      </c>
      <c r="M33" s="76">
        <v>16034.0699138641</v>
      </c>
      <c r="N33" s="76">
        <v>137799.959774017</v>
      </c>
      <c r="O33" s="76">
        <v>229044.740356445</v>
      </c>
      <c r="P33" s="22"/>
      <c r="Q33" s="76">
        <v>11563.5</v>
      </c>
      <c r="R33" s="76">
        <v>137275.399978638</v>
      </c>
      <c r="S33" s="76">
        <v>1466.79998016357</v>
      </c>
      <c r="T33" s="76">
        <v>6190.45001411438</v>
      </c>
      <c r="U33" s="29"/>
      <c r="V33" s="76">
        <v>46628.3696289063</v>
      </c>
      <c r="W33" s="76">
        <v>5471.16999816895</v>
      </c>
    </row>
    <row x14ac:dyDescent="0.25" r="34" customHeight="1" ht="17.25">
      <c r="A34" s="74" t="s">
        <v>56</v>
      </c>
      <c r="B34" s="74" t="s">
        <v>85</v>
      </c>
      <c r="C34" s="74" t="s">
        <v>86</v>
      </c>
      <c r="D34" s="77" t="s">
        <v>59</v>
      </c>
      <c r="E34" s="78">
        <v>-0.05</v>
      </c>
      <c r="F34" s="78">
        <v>-0.09</v>
      </c>
      <c r="G34" s="77" t="s">
        <v>60</v>
      </c>
      <c r="H34" s="78">
        <v>0.06</v>
      </c>
      <c r="I34" s="78">
        <v>-0.05</v>
      </c>
      <c r="J34" s="79" t="s">
        <v>60</v>
      </c>
      <c r="K34" s="78">
        <v>0.08</v>
      </c>
      <c r="L34" s="78">
        <v>0.25</v>
      </c>
      <c r="M34" s="78">
        <v>0.07</v>
      </c>
      <c r="N34" s="78">
        <v>-0.03</v>
      </c>
      <c r="O34" s="78">
        <v>0.13</v>
      </c>
      <c r="P34" s="77" t="s">
        <v>60</v>
      </c>
      <c r="Q34" s="78">
        <v>-0.01</v>
      </c>
      <c r="R34" s="78">
        <v>0.2</v>
      </c>
      <c r="S34" s="78">
        <v>0</v>
      </c>
      <c r="T34" s="78">
        <v>0.06</v>
      </c>
      <c r="U34" s="78">
        <v>-1</v>
      </c>
      <c r="V34" s="78">
        <v>-0.17</v>
      </c>
      <c r="W34" s="78">
        <v>-0.76</v>
      </c>
    </row>
    <row x14ac:dyDescent="0.25" r="35" customHeight="1" ht="17.25">
      <c r="A35" s="74" t="s">
        <v>56</v>
      </c>
      <c r="B35" s="74" t="s">
        <v>87</v>
      </c>
      <c r="C35" s="74" t="s">
        <v>88</v>
      </c>
      <c r="D35" s="75">
        <v>2024</v>
      </c>
      <c r="E35" s="29"/>
      <c r="F35" s="29"/>
      <c r="G35" s="22"/>
      <c r="H35" s="29"/>
      <c r="I35" s="29"/>
      <c r="J35" s="29"/>
      <c r="K35" s="29"/>
      <c r="L35" s="29"/>
      <c r="M35" s="29"/>
      <c r="N35" s="29"/>
      <c r="O35" s="29"/>
      <c r="P35" s="22"/>
      <c r="Q35" s="29"/>
      <c r="R35" s="29"/>
      <c r="S35" s="29"/>
      <c r="T35" s="29"/>
      <c r="U35" s="29"/>
      <c r="V35" s="29"/>
      <c r="W35" s="29"/>
    </row>
    <row x14ac:dyDescent="0.25" r="36" customHeight="1" ht="17.25">
      <c r="A36" s="74" t="s">
        <v>56</v>
      </c>
      <c r="B36" s="74" t="s">
        <v>87</v>
      </c>
      <c r="C36" s="74" t="s">
        <v>89</v>
      </c>
      <c r="D36" s="75">
        <v>2025</v>
      </c>
      <c r="E36" s="76">
        <v>190186.039550781</v>
      </c>
      <c r="F36" s="76">
        <v>106328.300292969</v>
      </c>
      <c r="G36" s="22"/>
      <c r="H36" s="76">
        <v>98246.6682128906</v>
      </c>
      <c r="I36" s="76">
        <v>61218.1202392578</v>
      </c>
      <c r="J36" s="76">
        <v>-69.1600036621094</v>
      </c>
      <c r="K36" s="76">
        <v>-170.839996337891</v>
      </c>
      <c r="L36" s="76">
        <v>99930.899105072</v>
      </c>
      <c r="M36" s="76">
        <v>18167.0399627686</v>
      </c>
      <c r="N36" s="76">
        <v>24519.9498901367</v>
      </c>
      <c r="O36" s="76">
        <v>357679.178066254</v>
      </c>
      <c r="P36" s="22"/>
      <c r="Q36" s="76">
        <v>10806.25</v>
      </c>
      <c r="R36" s="76">
        <v>183313.430870056</v>
      </c>
      <c r="S36" s="76">
        <v>1970.92003059387</v>
      </c>
      <c r="T36" s="76">
        <v>37496.1998901367</v>
      </c>
      <c r="U36" s="75">
        <v>2860</v>
      </c>
      <c r="V36" s="76">
        <v>90769.53125</v>
      </c>
      <c r="W36" s="76">
        <v>26836.4195404053</v>
      </c>
    </row>
    <row x14ac:dyDescent="0.25" r="37" customHeight="1" ht="17.25">
      <c r="A37" s="74" t="s">
        <v>56</v>
      </c>
      <c r="B37" s="74" t="s">
        <v>87</v>
      </c>
      <c r="C37" s="74" t="s">
        <v>89</v>
      </c>
      <c r="D37" s="77" t="s">
        <v>59</v>
      </c>
      <c r="E37" s="79" t="s">
        <v>60</v>
      </c>
      <c r="F37" s="79" t="s">
        <v>60</v>
      </c>
      <c r="G37" s="77" t="s">
        <v>60</v>
      </c>
      <c r="H37" s="79" t="s">
        <v>60</v>
      </c>
      <c r="I37" s="79" t="s">
        <v>60</v>
      </c>
      <c r="J37" s="79" t="s">
        <v>60</v>
      </c>
      <c r="K37" s="79" t="s">
        <v>60</v>
      </c>
      <c r="L37" s="79" t="s">
        <v>60</v>
      </c>
      <c r="M37" s="79" t="s">
        <v>60</v>
      </c>
      <c r="N37" s="79" t="s">
        <v>60</v>
      </c>
      <c r="O37" s="79" t="s">
        <v>60</v>
      </c>
      <c r="P37" s="77" t="s">
        <v>60</v>
      </c>
      <c r="Q37" s="79" t="s">
        <v>60</v>
      </c>
      <c r="R37" s="79" t="s">
        <v>60</v>
      </c>
      <c r="S37" s="79" t="s">
        <v>60</v>
      </c>
      <c r="T37" s="79" t="s">
        <v>60</v>
      </c>
      <c r="U37" s="79" t="s">
        <v>60</v>
      </c>
      <c r="V37" s="79" t="s">
        <v>60</v>
      </c>
      <c r="W37" s="79" t="s">
        <v>60</v>
      </c>
    </row>
    <row x14ac:dyDescent="0.25" r="38" customHeight="1" ht="17.25">
      <c r="A38" s="74" t="s">
        <v>56</v>
      </c>
      <c r="B38" s="74" t="s">
        <v>90</v>
      </c>
      <c r="C38" s="74" t="s">
        <v>91</v>
      </c>
      <c r="D38" s="75">
        <v>2024</v>
      </c>
      <c r="E38" s="76">
        <v>190505.58984375</v>
      </c>
      <c r="F38" s="76">
        <v>106523.741210938</v>
      </c>
      <c r="G38" s="22"/>
      <c r="H38" s="76">
        <v>108583.517578125</v>
      </c>
      <c r="I38" s="76">
        <v>68408.7395629883</v>
      </c>
      <c r="J38" s="76">
        <v>69.1600036621094</v>
      </c>
      <c r="K38" s="76">
        <v>5261.94009399414</v>
      </c>
      <c r="L38" s="76">
        <v>125227.838088989</v>
      </c>
      <c r="M38" s="76">
        <v>27808.0800304413</v>
      </c>
      <c r="N38" s="76">
        <v>46857.0802001953</v>
      </c>
      <c r="O38" s="76">
        <v>305272.881853104</v>
      </c>
      <c r="P38" s="22"/>
      <c r="Q38" s="76">
        <v>12470.25</v>
      </c>
      <c r="R38" s="76">
        <v>173796.249629974</v>
      </c>
      <c r="S38" s="76">
        <v>2585.08995056152</v>
      </c>
      <c r="T38" s="76">
        <v>80475.4503173828</v>
      </c>
      <c r="U38" s="75">
        <v>495</v>
      </c>
      <c r="V38" s="76">
        <v>108722.033203125</v>
      </c>
      <c r="W38" s="76">
        <v>64222.7305450439</v>
      </c>
    </row>
    <row x14ac:dyDescent="0.25" r="39" customHeight="1" ht="17.25">
      <c r="A39" s="74" t="s">
        <v>56</v>
      </c>
      <c r="B39" s="74" t="s">
        <v>90</v>
      </c>
      <c r="C39" s="74" t="s">
        <v>91</v>
      </c>
      <c r="D39" s="75">
        <v>2025</v>
      </c>
      <c r="E39" s="76">
        <v>126189.201416016</v>
      </c>
      <c r="F39" s="76">
        <v>55775.0411376953</v>
      </c>
      <c r="G39" s="22"/>
      <c r="H39" s="76">
        <v>73720.3012695313</v>
      </c>
      <c r="I39" s="76">
        <v>44436.1195526123</v>
      </c>
      <c r="J39" s="76">
        <v>378.759994506836</v>
      </c>
      <c r="K39" s="76">
        <v>2050.05996704102</v>
      </c>
      <c r="L39" s="76">
        <v>60691.3598079681</v>
      </c>
      <c r="M39" s="76">
        <v>22548.8001737595</v>
      </c>
      <c r="N39" s="76">
        <v>21938.5901818275</v>
      </c>
      <c r="O39" s="76">
        <v>212467.182923317</v>
      </c>
      <c r="P39" s="22"/>
      <c r="Q39" s="75">
        <v>6500</v>
      </c>
      <c r="R39" s="76">
        <v>127020.381069183</v>
      </c>
      <c r="S39" s="76">
        <v>1054.25996780396</v>
      </c>
      <c r="T39" s="76">
        <v>29227.8801116943</v>
      </c>
      <c r="U39" s="75">
        <v>1067</v>
      </c>
      <c r="V39" s="76">
        <v>92727.21875</v>
      </c>
      <c r="W39" s="76">
        <v>40595.8701934814</v>
      </c>
    </row>
    <row x14ac:dyDescent="0.25" r="40" customHeight="1" ht="17.25">
      <c r="A40" s="74" t="s">
        <v>56</v>
      </c>
      <c r="B40" s="74" t="s">
        <v>90</v>
      </c>
      <c r="C40" s="74" t="s">
        <v>91</v>
      </c>
      <c r="D40" s="77" t="s">
        <v>59</v>
      </c>
      <c r="E40" s="78">
        <v>-0.34</v>
      </c>
      <c r="F40" s="78">
        <v>-0.48</v>
      </c>
      <c r="G40" s="77" t="s">
        <v>60</v>
      </c>
      <c r="H40" s="78">
        <v>-0.32</v>
      </c>
      <c r="I40" s="78">
        <v>-0.35</v>
      </c>
      <c r="J40" s="78">
        <v>4.48</v>
      </c>
      <c r="K40" s="78">
        <v>-0.61</v>
      </c>
      <c r="L40" s="78">
        <v>-0.52</v>
      </c>
      <c r="M40" s="78">
        <v>-0.19</v>
      </c>
      <c r="N40" s="78">
        <v>-0.53</v>
      </c>
      <c r="O40" s="78">
        <v>-0.3</v>
      </c>
      <c r="P40" s="77" t="s">
        <v>60</v>
      </c>
      <c r="Q40" s="78">
        <v>-0.48</v>
      </c>
      <c r="R40" s="78">
        <v>-0.27</v>
      </c>
      <c r="S40" s="78">
        <v>-0.59</v>
      </c>
      <c r="T40" s="78">
        <v>-0.64</v>
      </c>
      <c r="U40" s="78">
        <v>1.16</v>
      </c>
      <c r="V40" s="78">
        <v>-0.15</v>
      </c>
      <c r="W40" s="78">
        <v>-0.37</v>
      </c>
    </row>
    <row x14ac:dyDescent="0.25" r="41" customHeight="1" ht="17.25">
      <c r="A41" s="74" t="s">
        <v>56</v>
      </c>
      <c r="B41" s="74" t="s">
        <v>92</v>
      </c>
      <c r="C41" s="74" t="s">
        <v>93</v>
      </c>
      <c r="D41" s="75">
        <v>2024</v>
      </c>
      <c r="E41" s="76">
        <v>188403.763183594</v>
      </c>
      <c r="F41" s="76">
        <v>61199.3391113281</v>
      </c>
      <c r="G41" s="22"/>
      <c r="H41" s="76">
        <v>95494.6281738281</v>
      </c>
      <c r="I41" s="76">
        <v>47998.7896728516</v>
      </c>
      <c r="J41" s="29"/>
      <c r="K41" s="76">
        <v>2870.13006591797</v>
      </c>
      <c r="L41" s="76">
        <v>82301.4994354248</v>
      </c>
      <c r="M41" s="76">
        <v>24771.9597072601</v>
      </c>
      <c r="N41" s="76">
        <v>12135.3699607849</v>
      </c>
      <c r="O41" s="76">
        <v>473198.880500793</v>
      </c>
      <c r="P41" s="22"/>
      <c r="Q41" s="76">
        <v>11446.5</v>
      </c>
      <c r="R41" s="76">
        <v>160119.811258316</v>
      </c>
      <c r="S41" s="76">
        <v>6370.97003173828</v>
      </c>
      <c r="T41" s="76">
        <v>26322.4192066193</v>
      </c>
      <c r="U41" s="76">
        <v>9655.83000183105</v>
      </c>
      <c r="V41" s="76">
        <v>81484.3303222656</v>
      </c>
      <c r="W41" s="76">
        <v>49838.7809534073</v>
      </c>
    </row>
    <row x14ac:dyDescent="0.25" r="42" customHeight="1" ht="17.25">
      <c r="A42" s="74" t="s">
        <v>56</v>
      </c>
      <c r="B42" s="74" t="s">
        <v>92</v>
      </c>
      <c r="C42" s="74" t="s">
        <v>93</v>
      </c>
      <c r="D42" s="75">
        <v>2025</v>
      </c>
      <c r="E42" s="76">
        <v>75223.1614990234</v>
      </c>
      <c r="F42" s="76">
        <v>21210.7299194336</v>
      </c>
      <c r="G42" s="22"/>
      <c r="H42" s="76">
        <v>40005.259765625</v>
      </c>
      <c r="I42" s="76">
        <v>19733.7299194336</v>
      </c>
      <c r="J42" s="76">
        <v>1059.18998718262</v>
      </c>
      <c r="K42" s="76">
        <v>717.539993286133</v>
      </c>
      <c r="L42" s="76">
        <v>27596.0902328491</v>
      </c>
      <c r="M42" s="76">
        <v>10670.5800895691</v>
      </c>
      <c r="N42" s="76">
        <v>5216.71000862122</v>
      </c>
      <c r="O42" s="76">
        <v>183765.74833107</v>
      </c>
      <c r="P42" s="22"/>
      <c r="Q42" s="76">
        <v>6243.25</v>
      </c>
      <c r="R42" s="76">
        <v>77803.3499929812</v>
      </c>
      <c r="S42" s="76">
        <v>3345.87010192871</v>
      </c>
      <c r="T42" s="76">
        <v>12110.730178833</v>
      </c>
      <c r="U42" s="76">
        <v>1571.17001342773</v>
      </c>
      <c r="V42" s="76">
        <v>36814.19921875</v>
      </c>
      <c r="W42" s="76">
        <v>21129.1301574707</v>
      </c>
    </row>
    <row x14ac:dyDescent="0.25" r="43" customHeight="1" ht="17.25">
      <c r="A43" s="74" t="s">
        <v>56</v>
      </c>
      <c r="B43" s="74" t="s">
        <v>92</v>
      </c>
      <c r="C43" s="74" t="s">
        <v>93</v>
      </c>
      <c r="D43" s="77" t="s">
        <v>59</v>
      </c>
      <c r="E43" s="78">
        <v>-0.6</v>
      </c>
      <c r="F43" s="78">
        <v>-0.65</v>
      </c>
      <c r="G43" s="77" t="s">
        <v>60</v>
      </c>
      <c r="H43" s="78">
        <v>-0.58</v>
      </c>
      <c r="I43" s="78">
        <v>-0.59</v>
      </c>
      <c r="J43" s="79" t="s">
        <v>60</v>
      </c>
      <c r="K43" s="78">
        <v>-0.75</v>
      </c>
      <c r="L43" s="78">
        <v>-0.66</v>
      </c>
      <c r="M43" s="78">
        <v>-0.57</v>
      </c>
      <c r="N43" s="78">
        <v>-0.57</v>
      </c>
      <c r="O43" s="78">
        <v>-0.61</v>
      </c>
      <c r="P43" s="77" t="s">
        <v>60</v>
      </c>
      <c r="Q43" s="78">
        <v>-0.45</v>
      </c>
      <c r="R43" s="78">
        <v>-0.51</v>
      </c>
      <c r="S43" s="78">
        <v>-0.47</v>
      </c>
      <c r="T43" s="78">
        <v>-0.54</v>
      </c>
      <c r="U43" s="78">
        <v>-0.84</v>
      </c>
      <c r="V43" s="78">
        <v>-0.55</v>
      </c>
      <c r="W43" s="78">
        <v>-0.58</v>
      </c>
    </row>
    <row x14ac:dyDescent="0.25" r="44" customHeight="1" ht="17.25">
      <c r="A44" s="74" t="s">
        <v>56</v>
      </c>
      <c r="B44" s="74" t="s">
        <v>94</v>
      </c>
      <c r="C44" s="74" t="s">
        <v>95</v>
      </c>
      <c r="D44" s="75">
        <v>2024</v>
      </c>
      <c r="E44" s="76">
        <v>184037.837890625</v>
      </c>
      <c r="F44" s="76">
        <v>143077.590820313</v>
      </c>
      <c r="G44" s="22"/>
      <c r="H44" s="76">
        <v>88072.369140625</v>
      </c>
      <c r="I44" s="76">
        <v>73254.5209350586</v>
      </c>
      <c r="J44" s="29"/>
      <c r="K44" s="76">
        <v>8917.94000244141</v>
      </c>
      <c r="L44" s="76">
        <v>96356.6296234131</v>
      </c>
      <c r="M44" s="76">
        <v>27555.5597305298</v>
      </c>
      <c r="N44" s="76">
        <v>20333.8300323486</v>
      </c>
      <c r="O44" s="76">
        <v>306977.522035599</v>
      </c>
      <c r="P44" s="22"/>
      <c r="Q44" s="75">
        <v>13390</v>
      </c>
      <c r="R44" s="76">
        <v>151288.372106552</v>
      </c>
      <c r="S44" s="76">
        <v>3162.74000549316</v>
      </c>
      <c r="T44" s="76">
        <v>9371.24005126953</v>
      </c>
      <c r="U44" s="76">
        <v>20774.8300018311</v>
      </c>
      <c r="V44" s="76">
        <v>108444.810546875</v>
      </c>
      <c r="W44" s="76">
        <v>42466.0905709267</v>
      </c>
    </row>
    <row x14ac:dyDescent="0.25" r="45" customHeight="1" ht="17.25">
      <c r="A45" s="74" t="s">
        <v>56</v>
      </c>
      <c r="B45" s="74" t="s">
        <v>94</v>
      </c>
      <c r="C45" s="74" t="s">
        <v>95</v>
      </c>
      <c r="D45" s="75">
        <v>2025</v>
      </c>
      <c r="E45" s="76">
        <v>175401.77394104</v>
      </c>
      <c r="F45" s="76">
        <v>121852.290649414</v>
      </c>
      <c r="G45" s="22"/>
      <c r="H45" s="76">
        <v>90454.1414642334</v>
      </c>
      <c r="I45" s="76">
        <v>57539.0579147339</v>
      </c>
      <c r="J45" s="76">
        <v>3093.74994659424</v>
      </c>
      <c r="K45" s="76">
        <v>2323.36996459961</v>
      </c>
      <c r="L45" s="76">
        <v>83086.8415222168</v>
      </c>
      <c r="M45" s="76">
        <v>31771.8499164581</v>
      </c>
      <c r="N45" s="76">
        <v>18568.1398925781</v>
      </c>
      <c r="O45" s="76">
        <v>289914.796405792</v>
      </c>
      <c r="P45" s="22"/>
      <c r="Q45" s="76">
        <v>12889.5</v>
      </c>
      <c r="R45" s="76">
        <v>165448.418598175</v>
      </c>
      <c r="S45" s="76">
        <v>2589.7999420166</v>
      </c>
      <c r="T45" s="76">
        <v>8627.71997070313</v>
      </c>
      <c r="U45" s="75">
        <v>15431</v>
      </c>
      <c r="V45" s="76">
        <v>147143.458312988</v>
      </c>
      <c r="W45" s="76">
        <v>38062.7702560425</v>
      </c>
    </row>
    <row x14ac:dyDescent="0.25" r="46" customHeight="1" ht="17.25">
      <c r="A46" s="74" t="s">
        <v>56</v>
      </c>
      <c r="B46" s="74" t="s">
        <v>94</v>
      </c>
      <c r="C46" s="74" t="s">
        <v>95</v>
      </c>
      <c r="D46" s="77" t="s">
        <v>59</v>
      </c>
      <c r="E46" s="78">
        <v>-0.05</v>
      </c>
      <c r="F46" s="78">
        <v>-0.15</v>
      </c>
      <c r="G46" s="77" t="s">
        <v>60</v>
      </c>
      <c r="H46" s="78">
        <v>0.03</v>
      </c>
      <c r="I46" s="78">
        <v>-0.21</v>
      </c>
      <c r="J46" s="79" t="s">
        <v>60</v>
      </c>
      <c r="K46" s="78">
        <v>-0.74</v>
      </c>
      <c r="L46" s="78">
        <v>-0.14</v>
      </c>
      <c r="M46" s="78">
        <v>0.15</v>
      </c>
      <c r="N46" s="78">
        <v>-0.09</v>
      </c>
      <c r="O46" s="78">
        <v>-0.06</v>
      </c>
      <c r="P46" s="77" t="s">
        <v>60</v>
      </c>
      <c r="Q46" s="78">
        <v>-0.04</v>
      </c>
      <c r="R46" s="78">
        <v>0.09</v>
      </c>
      <c r="S46" s="78">
        <v>-0.18</v>
      </c>
      <c r="T46" s="78">
        <v>-0.08</v>
      </c>
      <c r="U46" s="78">
        <v>-0.26</v>
      </c>
      <c r="V46" s="78">
        <v>0.36</v>
      </c>
      <c r="W46" s="78">
        <v>-0.1</v>
      </c>
    </row>
    <row x14ac:dyDescent="0.25" r="47" customHeight="1" ht="17.25">
      <c r="A47" s="74" t="s">
        <v>56</v>
      </c>
      <c r="B47" s="74" t="s">
        <v>96</v>
      </c>
      <c r="C47" s="74" t="s">
        <v>97</v>
      </c>
      <c r="D47" s="75">
        <v>2024</v>
      </c>
      <c r="E47" s="29"/>
      <c r="F47" s="29"/>
      <c r="G47" s="22"/>
      <c r="H47" s="29"/>
      <c r="I47" s="29"/>
      <c r="J47" s="29"/>
      <c r="K47" s="29"/>
      <c r="L47" s="29"/>
      <c r="M47" s="29"/>
      <c r="N47" s="29"/>
      <c r="O47" s="29"/>
      <c r="P47" s="22"/>
      <c r="Q47" s="29"/>
      <c r="R47" s="29"/>
      <c r="S47" s="29"/>
      <c r="T47" s="29"/>
      <c r="U47" s="29"/>
      <c r="V47" s="29"/>
      <c r="W47" s="29"/>
    </row>
    <row x14ac:dyDescent="0.25" r="48" customHeight="1" ht="17.25">
      <c r="A48" s="74" t="s">
        <v>56</v>
      </c>
      <c r="B48" s="74" t="s">
        <v>96</v>
      </c>
      <c r="C48" s="74" t="s">
        <v>97</v>
      </c>
      <c r="D48" s="75">
        <v>2025</v>
      </c>
      <c r="E48" s="76">
        <v>12786.6296539307</v>
      </c>
      <c r="F48" s="76">
        <v>11439.3900089264</v>
      </c>
      <c r="G48" s="22"/>
      <c r="H48" s="76">
        <v>6685.94993591309</v>
      </c>
      <c r="I48" s="76">
        <v>7549.61998939514</v>
      </c>
      <c r="J48" s="76">
        <v>68.3399963378906</v>
      </c>
      <c r="K48" s="76">
        <v>854.219985961914</v>
      </c>
      <c r="L48" s="76">
        <v>4955.81998634338</v>
      </c>
      <c r="M48" s="76">
        <v>2485.92998123169</v>
      </c>
      <c r="N48" s="76">
        <v>1757.08001422882</v>
      </c>
      <c r="O48" s="76">
        <v>29596.6199493408</v>
      </c>
      <c r="P48" s="22"/>
      <c r="Q48" s="76">
        <v>1732.25</v>
      </c>
      <c r="R48" s="76">
        <v>16969.0498466492</v>
      </c>
      <c r="S48" s="76">
        <v>229.189992904663</v>
      </c>
      <c r="T48" s="76">
        <v>1088.80996704102</v>
      </c>
      <c r="U48" s="75">
        <v>1639</v>
      </c>
      <c r="V48" s="76">
        <v>12184.0801544189</v>
      </c>
      <c r="W48" s="76">
        <v>1246.14999389648</v>
      </c>
    </row>
    <row x14ac:dyDescent="0.25" r="49" customHeight="1" ht="17.25">
      <c r="A49" s="74" t="s">
        <v>56</v>
      </c>
      <c r="B49" s="74" t="s">
        <v>96</v>
      </c>
      <c r="C49" s="74" t="s">
        <v>97</v>
      </c>
      <c r="D49" s="77" t="s">
        <v>59</v>
      </c>
      <c r="E49" s="79" t="s">
        <v>60</v>
      </c>
      <c r="F49" s="79" t="s">
        <v>60</v>
      </c>
      <c r="G49" s="77" t="s">
        <v>60</v>
      </c>
      <c r="H49" s="79" t="s">
        <v>60</v>
      </c>
      <c r="I49" s="79" t="s">
        <v>60</v>
      </c>
      <c r="J49" s="79" t="s">
        <v>60</v>
      </c>
      <c r="K49" s="79" t="s">
        <v>60</v>
      </c>
      <c r="L49" s="79" t="s">
        <v>60</v>
      </c>
      <c r="M49" s="79" t="s">
        <v>60</v>
      </c>
      <c r="N49" s="79" t="s">
        <v>60</v>
      </c>
      <c r="O49" s="79" t="s">
        <v>60</v>
      </c>
      <c r="P49" s="77" t="s">
        <v>60</v>
      </c>
      <c r="Q49" s="79" t="s">
        <v>60</v>
      </c>
      <c r="R49" s="79" t="s">
        <v>60</v>
      </c>
      <c r="S49" s="79" t="s">
        <v>60</v>
      </c>
      <c r="T49" s="79" t="s">
        <v>60</v>
      </c>
      <c r="U49" s="79" t="s">
        <v>60</v>
      </c>
      <c r="V49" s="79" t="s">
        <v>60</v>
      </c>
      <c r="W49" s="79" t="s">
        <v>60</v>
      </c>
    </row>
    <row x14ac:dyDescent="0.25" r="50" customHeight="1" ht="17.25">
      <c r="A50" s="74" t="s">
        <v>56</v>
      </c>
      <c r="B50" s="74" t="s">
        <v>98</v>
      </c>
      <c r="C50" s="74" t="s">
        <v>99</v>
      </c>
      <c r="D50" s="75">
        <v>2024</v>
      </c>
      <c r="E50" s="76">
        <v>239814.6953125</v>
      </c>
      <c r="F50" s="76">
        <v>120080.711914063</v>
      </c>
      <c r="G50" s="22"/>
      <c r="H50" s="76">
        <v>116446.677734375</v>
      </c>
      <c r="I50" s="76">
        <v>80158.3908691406</v>
      </c>
      <c r="J50" s="76">
        <v>3388.89991760254</v>
      </c>
      <c r="K50" s="76">
        <v>11138.9400634766</v>
      </c>
      <c r="L50" s="76">
        <v>95542.6208953857</v>
      </c>
      <c r="M50" s="76">
        <v>71310.8498077393</v>
      </c>
      <c r="N50" s="76">
        <v>37920.7399139404</v>
      </c>
      <c r="O50" s="76">
        <v>406379.313171387</v>
      </c>
      <c r="P50" s="22"/>
      <c r="Q50" s="76">
        <v>11966.5</v>
      </c>
      <c r="R50" s="76">
        <v>194674.838075867</v>
      </c>
      <c r="S50" s="76">
        <v>5601.29000854492</v>
      </c>
      <c r="T50" s="76">
        <v>9213.5999622345</v>
      </c>
      <c r="U50" s="76">
        <v>21455.5100708008</v>
      </c>
      <c r="V50" s="76">
        <v>138938.639177322</v>
      </c>
      <c r="W50" s="76">
        <v>54766.5401887894</v>
      </c>
    </row>
    <row x14ac:dyDescent="0.25" r="51" customHeight="1" ht="17.25">
      <c r="A51" s="74" t="s">
        <v>56</v>
      </c>
      <c r="B51" s="74" t="s">
        <v>98</v>
      </c>
      <c r="C51" s="74" t="s">
        <v>99</v>
      </c>
      <c r="D51" s="75">
        <v>2025</v>
      </c>
      <c r="E51" s="76">
        <v>235536.201660156</v>
      </c>
      <c r="F51" s="76">
        <v>132772.797424316</v>
      </c>
      <c r="G51" s="22"/>
      <c r="H51" s="76">
        <v>113040.931640625</v>
      </c>
      <c r="I51" s="76">
        <v>77660.3794555664</v>
      </c>
      <c r="J51" s="76">
        <v>4162.87003326416</v>
      </c>
      <c r="K51" s="76">
        <v>14418.9701385498</v>
      </c>
      <c r="L51" s="76">
        <v>127147.990310669</v>
      </c>
      <c r="M51" s="76">
        <v>76551.0799722672</v>
      </c>
      <c r="N51" s="76">
        <v>50647.0095310211</v>
      </c>
      <c r="O51" s="76">
        <v>461102.833030224</v>
      </c>
      <c r="P51" s="22"/>
      <c r="Q51" s="75">
        <v>12480</v>
      </c>
      <c r="R51" s="76">
        <v>229880.608695984</v>
      </c>
      <c r="S51" s="76">
        <v>5156.67993164063</v>
      </c>
      <c r="T51" s="76">
        <v>10607.4501304626</v>
      </c>
      <c r="U51" s="76">
        <v>18277.1601104736</v>
      </c>
      <c r="V51" s="76">
        <v>165053.10949707</v>
      </c>
      <c r="W51" s="76">
        <v>83439.9707431793</v>
      </c>
    </row>
    <row x14ac:dyDescent="0.25" r="52" customHeight="1" ht="17.25">
      <c r="A52" s="74" t="s">
        <v>56</v>
      </c>
      <c r="B52" s="74" t="s">
        <v>98</v>
      </c>
      <c r="C52" s="74" t="s">
        <v>99</v>
      </c>
      <c r="D52" s="77" t="s">
        <v>59</v>
      </c>
      <c r="E52" s="78">
        <v>-0.02</v>
      </c>
      <c r="F52" s="78">
        <v>0.11</v>
      </c>
      <c r="G52" s="77" t="s">
        <v>60</v>
      </c>
      <c r="H52" s="78">
        <v>-0.03</v>
      </c>
      <c r="I52" s="78">
        <v>-0.03</v>
      </c>
      <c r="J52" s="78">
        <v>0.23</v>
      </c>
      <c r="K52" s="78">
        <v>0.29</v>
      </c>
      <c r="L52" s="78">
        <v>0.33</v>
      </c>
      <c r="M52" s="78">
        <v>0.07</v>
      </c>
      <c r="N52" s="78">
        <v>0.34</v>
      </c>
      <c r="O52" s="78">
        <v>0.13</v>
      </c>
      <c r="P52" s="77" t="s">
        <v>60</v>
      </c>
      <c r="Q52" s="78">
        <v>0.04</v>
      </c>
      <c r="R52" s="78">
        <v>0.18</v>
      </c>
      <c r="S52" s="78">
        <v>-0.08</v>
      </c>
      <c r="T52" s="78">
        <v>0.15</v>
      </c>
      <c r="U52" s="78">
        <v>-0.15</v>
      </c>
      <c r="V52" s="78">
        <v>0.19</v>
      </c>
      <c r="W52" s="78">
        <v>0.52</v>
      </c>
    </row>
    <row x14ac:dyDescent="0.25" r="53" customHeight="1" ht="17.25">
      <c r="A53" s="74" t="s">
        <v>56</v>
      </c>
      <c r="B53" s="74" t="s">
        <v>100</v>
      </c>
      <c r="C53" s="74" t="s">
        <v>101</v>
      </c>
      <c r="D53" s="75">
        <v>2024</v>
      </c>
      <c r="E53" s="76">
        <v>1996.69000244141</v>
      </c>
      <c r="F53" s="76">
        <v>1851.41998291016</v>
      </c>
      <c r="G53" s="22"/>
      <c r="H53" s="76">
        <v>431.150009155273</v>
      </c>
      <c r="I53" s="76">
        <v>1228.57997131348</v>
      </c>
      <c r="J53" s="29"/>
      <c r="K53" s="76">
        <v>341.670013427734</v>
      </c>
      <c r="L53" s="76">
        <v>1029.09000015259</v>
      </c>
      <c r="M53" s="76">
        <v>414.759999275208</v>
      </c>
      <c r="N53" s="76">
        <v>443.349990844727</v>
      </c>
      <c r="O53" s="76">
        <v>3163.38003158569</v>
      </c>
      <c r="P53" s="22"/>
      <c r="Q53" s="75">
        <v>260</v>
      </c>
      <c r="R53" s="76">
        <v>1956.20001029968</v>
      </c>
      <c r="S53" s="29"/>
      <c r="T53" s="76">
        <v>63.3400001525879</v>
      </c>
      <c r="U53" s="75">
        <v>77</v>
      </c>
      <c r="V53" s="76">
        <v>1616.96002197266</v>
      </c>
      <c r="W53" s="76">
        <v>892.46000289917</v>
      </c>
    </row>
    <row x14ac:dyDescent="0.25" r="54" customHeight="1" ht="17.25">
      <c r="A54" s="74" t="s">
        <v>56</v>
      </c>
      <c r="B54" s="74" t="s">
        <v>100</v>
      </c>
      <c r="C54" s="74" t="s">
        <v>101</v>
      </c>
      <c r="D54" s="75">
        <v>2025</v>
      </c>
      <c r="E54" s="76">
        <v>5116.18994140625</v>
      </c>
      <c r="F54" s="75">
        <v>3953</v>
      </c>
      <c r="G54" s="22"/>
      <c r="H54" s="76">
        <v>3596.88989257813</v>
      </c>
      <c r="I54" s="76">
        <v>2429.10003662109</v>
      </c>
      <c r="J54" s="76">
        <v>580.880004882813</v>
      </c>
      <c r="K54" s="29"/>
      <c r="L54" s="76">
        <v>2681.02998352051</v>
      </c>
      <c r="M54" s="76">
        <v>997.48998260498</v>
      </c>
      <c r="N54" s="76">
        <v>617.509994506836</v>
      </c>
      <c r="O54" s="76">
        <v>1452.6600227356</v>
      </c>
      <c r="P54" s="22"/>
      <c r="Q54" s="76">
        <v>422.5</v>
      </c>
      <c r="R54" s="76">
        <v>5576.09002685547</v>
      </c>
      <c r="S54" s="76">
        <v>114.599998474121</v>
      </c>
      <c r="T54" s="76">
        <v>267.080003738403</v>
      </c>
      <c r="U54" s="75">
        <v>99</v>
      </c>
      <c r="V54" s="76">
        <v>4384.0800037384</v>
      </c>
      <c r="W54" s="76">
        <v>2764.18997192383</v>
      </c>
    </row>
    <row x14ac:dyDescent="0.25" r="55" customHeight="1" ht="17.25">
      <c r="A55" s="74" t="s">
        <v>56</v>
      </c>
      <c r="B55" s="74" t="s">
        <v>100</v>
      </c>
      <c r="C55" s="74" t="s">
        <v>101</v>
      </c>
      <c r="D55" s="77" t="s">
        <v>59</v>
      </c>
      <c r="E55" s="78">
        <v>1.56</v>
      </c>
      <c r="F55" s="78">
        <v>1.14</v>
      </c>
      <c r="G55" s="77" t="s">
        <v>60</v>
      </c>
      <c r="H55" s="78">
        <v>7.34</v>
      </c>
      <c r="I55" s="78">
        <v>0.98</v>
      </c>
      <c r="J55" s="79" t="s">
        <v>60</v>
      </c>
      <c r="K55" s="78">
        <v>-1</v>
      </c>
      <c r="L55" s="78">
        <v>1.61</v>
      </c>
      <c r="M55" s="78">
        <v>1.4</v>
      </c>
      <c r="N55" s="78">
        <v>0.39</v>
      </c>
      <c r="O55" s="78">
        <v>-0.54</v>
      </c>
      <c r="P55" s="77" t="s">
        <v>60</v>
      </c>
      <c r="Q55" s="78">
        <v>0.63</v>
      </c>
      <c r="R55" s="78">
        <v>1.85</v>
      </c>
      <c r="S55" s="79" t="s">
        <v>60</v>
      </c>
      <c r="T55" s="78">
        <v>3.22</v>
      </c>
      <c r="U55" s="78">
        <v>0.29</v>
      </c>
      <c r="V55" s="78">
        <v>1.71</v>
      </c>
      <c r="W55" s="78">
        <v>2.1</v>
      </c>
    </row>
    <row x14ac:dyDescent="0.25" r="56" customHeight="1" ht="17.25">
      <c r="A56" s="74" t="s">
        <v>56</v>
      </c>
      <c r="B56" s="74" t="s">
        <v>102</v>
      </c>
      <c r="C56" s="74" t="s">
        <v>103</v>
      </c>
      <c r="D56" s="75">
        <v>2024</v>
      </c>
      <c r="E56" s="76">
        <v>358.049987792969</v>
      </c>
      <c r="F56" s="76">
        <v>92.8499984741211</v>
      </c>
      <c r="G56" s="22"/>
      <c r="H56" s="76">
        <v>194.369995117188</v>
      </c>
      <c r="I56" s="76">
        <v>44.7799987792969</v>
      </c>
      <c r="J56" s="29"/>
      <c r="K56" s="29"/>
      <c r="L56" s="76">
        <v>920.840026855469</v>
      </c>
      <c r="M56" s="76">
        <v>955.5</v>
      </c>
      <c r="N56" s="76">
        <v>103.339996337891</v>
      </c>
      <c r="O56" s="76">
        <v>338.830001831055</v>
      </c>
      <c r="P56" s="22"/>
      <c r="Q56" s="29"/>
      <c r="R56" s="76">
        <v>756.240013122559</v>
      </c>
      <c r="S56" s="29"/>
      <c r="T56" s="29"/>
      <c r="U56" s="29"/>
      <c r="V56" s="76">
        <v>307.519989013672</v>
      </c>
      <c r="W56" s="75">
        <v>260</v>
      </c>
    </row>
    <row x14ac:dyDescent="0.25" r="57" customHeight="1" ht="17.25">
      <c r="A57" s="74" t="s">
        <v>56</v>
      </c>
      <c r="B57" s="74" t="s">
        <v>102</v>
      </c>
      <c r="C57" s="74" t="s">
        <v>103</v>
      </c>
      <c r="D57" s="75">
        <v>2025</v>
      </c>
      <c r="E57" s="76">
        <v>1198.61000061035</v>
      </c>
      <c r="F57" s="76">
        <v>803.009994506836</v>
      </c>
      <c r="G57" s="22"/>
      <c r="H57" s="76">
        <v>1170.28997802734</v>
      </c>
      <c r="I57" s="76">
        <v>876.910018920898</v>
      </c>
      <c r="J57" s="76">
        <v>34.5800018310547</v>
      </c>
      <c r="K57" s="29"/>
      <c r="L57" s="76">
        <v>324.969997406006</v>
      </c>
      <c r="M57" s="76">
        <v>588.480010986328</v>
      </c>
      <c r="N57" s="76">
        <v>103.339996337891</v>
      </c>
      <c r="O57" s="76">
        <v>1229.57999610901</v>
      </c>
      <c r="P57" s="22"/>
      <c r="Q57" s="29"/>
      <c r="R57" s="76">
        <v>1532.67000389099</v>
      </c>
      <c r="S57" s="76">
        <v>45.8400001525879</v>
      </c>
      <c r="T57" s="29"/>
      <c r="U57" s="75">
        <v>55</v>
      </c>
      <c r="V57" s="76">
        <v>296.25</v>
      </c>
      <c r="W57" s="75">
        <v>455</v>
      </c>
    </row>
    <row x14ac:dyDescent="0.25" r="58" customHeight="1" ht="17.25">
      <c r="A58" s="74" t="s">
        <v>56</v>
      </c>
      <c r="B58" s="74" t="s">
        <v>102</v>
      </c>
      <c r="C58" s="74" t="s">
        <v>103</v>
      </c>
      <c r="D58" s="77" t="s">
        <v>59</v>
      </c>
      <c r="E58" s="78">
        <v>2.35</v>
      </c>
      <c r="F58" s="78">
        <v>7.65</v>
      </c>
      <c r="G58" s="77" t="s">
        <v>60</v>
      </c>
      <c r="H58" s="78">
        <v>5.02</v>
      </c>
      <c r="I58" s="79" t="s">
        <v>104</v>
      </c>
      <c r="J58" s="79" t="s">
        <v>60</v>
      </c>
      <c r="K58" s="79" t="s">
        <v>60</v>
      </c>
      <c r="L58" s="78">
        <v>-0.65</v>
      </c>
      <c r="M58" s="78">
        <v>-0.38</v>
      </c>
      <c r="N58" s="78">
        <v>0</v>
      </c>
      <c r="O58" s="78">
        <v>2.63</v>
      </c>
      <c r="P58" s="77" t="s">
        <v>60</v>
      </c>
      <c r="Q58" s="79" t="s">
        <v>60</v>
      </c>
      <c r="R58" s="78">
        <v>1.03</v>
      </c>
      <c r="S58" s="79" t="s">
        <v>60</v>
      </c>
      <c r="T58" s="79" t="s">
        <v>60</v>
      </c>
      <c r="U58" s="79" t="s">
        <v>60</v>
      </c>
      <c r="V58" s="78">
        <v>-0.04</v>
      </c>
      <c r="W58" s="78">
        <v>0.75</v>
      </c>
    </row>
    <row x14ac:dyDescent="0.25" r="59" customHeight="1" ht="17.25">
      <c r="A59" s="74" t="s">
        <v>56</v>
      </c>
      <c r="B59" s="74" t="s">
        <v>105</v>
      </c>
      <c r="C59" s="74" t="s">
        <v>106</v>
      </c>
      <c r="D59" s="75">
        <v>2024</v>
      </c>
      <c r="E59" s="76">
        <v>248467.216796875</v>
      </c>
      <c r="F59" s="76">
        <v>129607.767578125</v>
      </c>
      <c r="G59" s="22"/>
      <c r="H59" s="76">
        <v>129937.48828125</v>
      </c>
      <c r="I59" s="76">
        <v>80587.8404541016</v>
      </c>
      <c r="J59" s="76">
        <v>1586.53001403809</v>
      </c>
      <c r="K59" s="76">
        <v>9840.53967285156</v>
      </c>
      <c r="L59" s="76">
        <v>100419.29989624</v>
      </c>
      <c r="M59" s="76">
        <v>50385.4008636475</v>
      </c>
      <c r="N59" s="76">
        <v>57539.6402430534</v>
      </c>
      <c r="O59" s="76">
        <v>326043.033279419</v>
      </c>
      <c r="P59" s="22"/>
      <c r="Q59" s="76">
        <v>13373.75</v>
      </c>
      <c r="R59" s="76">
        <v>186985.349517822</v>
      </c>
      <c r="S59" s="76">
        <v>5935.86993408203</v>
      </c>
      <c r="T59" s="76">
        <v>7705.70002746582</v>
      </c>
      <c r="U59" s="75">
        <v>10967</v>
      </c>
      <c r="V59" s="76">
        <v>119924.94921875</v>
      </c>
      <c r="W59" s="76">
        <v>50599.881313324</v>
      </c>
    </row>
    <row x14ac:dyDescent="0.25" r="60" customHeight="1" ht="17.25">
      <c r="A60" s="74" t="s">
        <v>56</v>
      </c>
      <c r="B60" s="74" t="s">
        <v>105</v>
      </c>
      <c r="C60" s="74" t="s">
        <v>106</v>
      </c>
      <c r="D60" s="75">
        <v>2025</v>
      </c>
      <c r="E60" s="76">
        <v>243031.920898438</v>
      </c>
      <c r="F60" s="76">
        <v>121738.768310547</v>
      </c>
      <c r="G60" s="22"/>
      <c r="H60" s="76">
        <v>135537.239257813</v>
      </c>
      <c r="I60" s="76">
        <v>68269.5107116699</v>
      </c>
      <c r="J60" s="76">
        <v>3875.12004089355</v>
      </c>
      <c r="K60" s="76">
        <v>5056.87005615234</v>
      </c>
      <c r="L60" s="76">
        <v>95408.6012115479</v>
      </c>
      <c r="M60" s="76">
        <v>48947.9003314972</v>
      </c>
      <c r="N60" s="76">
        <v>88316.0510139465</v>
      </c>
      <c r="O60" s="76">
        <v>333688.540815353</v>
      </c>
      <c r="P60" s="22"/>
      <c r="Q60" s="75">
        <v>11674</v>
      </c>
      <c r="R60" s="76">
        <v>223306.97098732</v>
      </c>
      <c r="S60" s="76">
        <v>4079.50993347168</v>
      </c>
      <c r="T60" s="76">
        <v>5349.82995796204</v>
      </c>
      <c r="U60" s="75">
        <v>9757</v>
      </c>
      <c r="V60" s="76">
        <v>133975.83023262</v>
      </c>
      <c r="W60" s="76">
        <v>47114.3100357056</v>
      </c>
    </row>
    <row x14ac:dyDescent="0.25" r="61" customHeight="1" ht="17.25">
      <c r="A61" s="74" t="s">
        <v>56</v>
      </c>
      <c r="B61" s="74" t="s">
        <v>105</v>
      </c>
      <c r="C61" s="74" t="s">
        <v>106</v>
      </c>
      <c r="D61" s="77" t="s">
        <v>59</v>
      </c>
      <c r="E61" s="78">
        <v>-0.02</v>
      </c>
      <c r="F61" s="78">
        <v>-0.06</v>
      </c>
      <c r="G61" s="77" t="s">
        <v>60</v>
      </c>
      <c r="H61" s="78">
        <v>0.04</v>
      </c>
      <c r="I61" s="78">
        <v>-0.15</v>
      </c>
      <c r="J61" s="78">
        <v>1.44</v>
      </c>
      <c r="K61" s="78">
        <v>-0.49</v>
      </c>
      <c r="L61" s="78">
        <v>-0.05</v>
      </c>
      <c r="M61" s="78">
        <v>-0.03</v>
      </c>
      <c r="N61" s="78">
        <v>0.53</v>
      </c>
      <c r="O61" s="78">
        <v>0.02</v>
      </c>
      <c r="P61" s="77" t="s">
        <v>60</v>
      </c>
      <c r="Q61" s="78">
        <v>-0.13</v>
      </c>
      <c r="R61" s="78">
        <v>0.19</v>
      </c>
      <c r="S61" s="78">
        <v>-0.31</v>
      </c>
      <c r="T61" s="78">
        <v>-0.31</v>
      </c>
      <c r="U61" s="78">
        <v>-0.11</v>
      </c>
      <c r="V61" s="78">
        <v>0.12</v>
      </c>
      <c r="W61" s="78">
        <v>-0.07</v>
      </c>
    </row>
    <row x14ac:dyDescent="0.25" r="62" customHeight="1" ht="17.25">
      <c r="A62" s="74" t="s">
        <v>56</v>
      </c>
      <c r="B62" s="74" t="s">
        <v>107</v>
      </c>
      <c r="C62" s="74" t="s">
        <v>108</v>
      </c>
      <c r="D62" s="75">
        <v>2024</v>
      </c>
      <c r="E62" s="76">
        <v>261243.7421875</v>
      </c>
      <c r="F62" s="76">
        <v>90887.658203125</v>
      </c>
      <c r="G62" s="22"/>
      <c r="H62" s="76">
        <v>139392.311523438</v>
      </c>
      <c r="I62" s="76">
        <v>53184.810546875</v>
      </c>
      <c r="J62" s="29"/>
      <c r="K62" s="76">
        <v>6765.24002075195</v>
      </c>
      <c r="L62" s="76">
        <v>111280.38885498</v>
      </c>
      <c r="M62" s="76">
        <v>28109.4397544861</v>
      </c>
      <c r="N62" s="76">
        <v>65822.7697753906</v>
      </c>
      <c r="O62" s="76">
        <v>225181.268657684</v>
      </c>
      <c r="P62" s="22"/>
      <c r="Q62" s="76">
        <v>15580.5</v>
      </c>
      <c r="R62" s="76">
        <v>154706.917285919</v>
      </c>
      <c r="S62" s="76">
        <v>5844.06994628906</v>
      </c>
      <c r="T62" s="76">
        <v>21233.9804706573</v>
      </c>
      <c r="U62" s="76">
        <v>14234.950012207</v>
      </c>
      <c r="V62" s="76">
        <v>115994.582107544</v>
      </c>
      <c r="W62" s="76">
        <v>38392.9000549316</v>
      </c>
    </row>
    <row x14ac:dyDescent="0.25" r="63" customHeight="1" ht="17.25">
      <c r="A63" s="74" t="s">
        <v>56</v>
      </c>
      <c r="B63" s="74" t="s">
        <v>107</v>
      </c>
      <c r="C63" s="74" t="s">
        <v>108</v>
      </c>
      <c r="D63" s="75">
        <v>2025</v>
      </c>
      <c r="E63" s="76">
        <v>258176.104492188</v>
      </c>
      <c r="F63" s="76">
        <v>75673.5288085938</v>
      </c>
      <c r="G63" s="22"/>
      <c r="H63" s="76">
        <v>138525.31640625</v>
      </c>
      <c r="I63" s="76">
        <v>49299.479675293</v>
      </c>
      <c r="J63" s="29"/>
      <c r="K63" s="76">
        <v>8678.61001586914</v>
      </c>
      <c r="L63" s="76">
        <v>104618.549606323</v>
      </c>
      <c r="M63" s="76">
        <v>24543.7299804688</v>
      </c>
      <c r="N63" s="76">
        <v>52360.350022316</v>
      </c>
      <c r="O63" s="76">
        <v>231378.089740753</v>
      </c>
      <c r="P63" s="22"/>
      <c r="Q63" s="76">
        <v>10377.25</v>
      </c>
      <c r="R63" s="76">
        <v>194437.06114006</v>
      </c>
      <c r="S63" s="76">
        <v>4629.3800239563</v>
      </c>
      <c r="T63" s="76">
        <v>13032.3099975586</v>
      </c>
      <c r="U63" s="76">
        <v>8325.83988952637</v>
      </c>
      <c r="V63" s="76">
        <v>145619.657226563</v>
      </c>
      <c r="W63" s="76">
        <v>47476.0692481995</v>
      </c>
    </row>
    <row x14ac:dyDescent="0.25" r="64" customHeight="1" ht="17.25">
      <c r="A64" s="74" t="s">
        <v>56</v>
      </c>
      <c r="B64" s="74" t="s">
        <v>107</v>
      </c>
      <c r="C64" s="74" t="s">
        <v>108</v>
      </c>
      <c r="D64" s="77" t="s">
        <v>59</v>
      </c>
      <c r="E64" s="78">
        <v>-0.01</v>
      </c>
      <c r="F64" s="78">
        <v>-0.17</v>
      </c>
      <c r="G64" s="77" t="s">
        <v>60</v>
      </c>
      <c r="H64" s="78">
        <v>-0.01</v>
      </c>
      <c r="I64" s="78">
        <v>-0.07</v>
      </c>
      <c r="J64" s="79" t="s">
        <v>60</v>
      </c>
      <c r="K64" s="78">
        <v>0.28</v>
      </c>
      <c r="L64" s="78">
        <v>-0.06</v>
      </c>
      <c r="M64" s="78">
        <v>-0.13</v>
      </c>
      <c r="N64" s="78">
        <v>-0.2</v>
      </c>
      <c r="O64" s="78">
        <v>0.03</v>
      </c>
      <c r="P64" s="77" t="s">
        <v>60</v>
      </c>
      <c r="Q64" s="78">
        <v>-0.33</v>
      </c>
      <c r="R64" s="78">
        <v>0.26</v>
      </c>
      <c r="S64" s="78">
        <v>-0.21</v>
      </c>
      <c r="T64" s="78">
        <v>-0.39</v>
      </c>
      <c r="U64" s="78">
        <v>-0.42</v>
      </c>
      <c r="V64" s="78">
        <v>0.26</v>
      </c>
      <c r="W64" s="78">
        <v>0.24</v>
      </c>
    </row>
    <row x14ac:dyDescent="0.25" r="65" customHeight="1" ht="17.25">
      <c r="A65" s="74" t="s">
        <v>56</v>
      </c>
      <c r="B65" s="74" t="s">
        <v>109</v>
      </c>
      <c r="C65" s="74" t="s">
        <v>110</v>
      </c>
      <c r="D65" s="75">
        <v>2024</v>
      </c>
      <c r="E65" s="76">
        <v>199191.997070313</v>
      </c>
      <c r="F65" s="76">
        <v>67250.0107421875</v>
      </c>
      <c r="G65" s="22"/>
      <c r="H65" s="76">
        <v>109669.279785156</v>
      </c>
      <c r="I65" s="76">
        <v>52190.2613525391</v>
      </c>
      <c r="J65" s="29"/>
      <c r="K65" s="76">
        <v>18963.1002807617</v>
      </c>
      <c r="L65" s="76">
        <v>121791.020080566</v>
      </c>
      <c r="M65" s="76">
        <v>20340.6298551559</v>
      </c>
      <c r="N65" s="76">
        <v>-11176.8200569153</v>
      </c>
      <c r="O65" s="76">
        <v>505908.544340134</v>
      </c>
      <c r="P65" s="22"/>
      <c r="Q65" s="75">
        <v>12181</v>
      </c>
      <c r="R65" s="76">
        <v>155148.470657349</v>
      </c>
      <c r="S65" s="76">
        <v>5912.49011230469</v>
      </c>
      <c r="T65" s="76">
        <v>63256.4896240234</v>
      </c>
      <c r="U65" s="29"/>
      <c r="V65" s="76">
        <v>73255.9418945313</v>
      </c>
      <c r="W65" s="76">
        <v>39812.92918396</v>
      </c>
    </row>
    <row x14ac:dyDescent="0.25" r="66" customHeight="1" ht="17.25">
      <c r="A66" s="74" t="s">
        <v>56</v>
      </c>
      <c r="B66" s="74" t="s">
        <v>109</v>
      </c>
      <c r="C66" s="74" t="s">
        <v>111</v>
      </c>
      <c r="D66" s="75">
        <v>2025</v>
      </c>
      <c r="E66" s="76">
        <v>208800.987304688</v>
      </c>
      <c r="F66" s="76">
        <v>74629.6423339844</v>
      </c>
      <c r="G66" s="22"/>
      <c r="H66" s="76">
        <v>101233.137451172</v>
      </c>
      <c r="I66" s="76">
        <v>54938.7412109375</v>
      </c>
      <c r="J66" s="29"/>
      <c r="K66" s="76">
        <v>10967.7498168945</v>
      </c>
      <c r="L66" s="76">
        <v>123090.299371719</v>
      </c>
      <c r="M66" s="76">
        <v>29007.3200302124</v>
      </c>
      <c r="N66" s="76">
        <v>25770.9201850891</v>
      </c>
      <c r="O66" s="76">
        <v>472473.124382019</v>
      </c>
      <c r="P66" s="22"/>
      <c r="Q66" s="75">
        <v>10140</v>
      </c>
      <c r="R66" s="76">
        <v>174408.34147644</v>
      </c>
      <c r="S66" s="76">
        <v>5362.62991333008</v>
      </c>
      <c r="T66" s="76">
        <v>55591.7805023193</v>
      </c>
      <c r="U66" s="29"/>
      <c r="V66" s="76">
        <v>104358.12890625</v>
      </c>
      <c r="W66" s="76">
        <v>31193.179145813</v>
      </c>
    </row>
    <row x14ac:dyDescent="0.25" r="67" customHeight="1" ht="17.25">
      <c r="A67" s="74" t="s">
        <v>56</v>
      </c>
      <c r="B67" s="74" t="s">
        <v>109</v>
      </c>
      <c r="C67" s="74" t="s">
        <v>111</v>
      </c>
      <c r="D67" s="77" t="s">
        <v>59</v>
      </c>
      <c r="E67" s="78">
        <v>0.05</v>
      </c>
      <c r="F67" s="78">
        <v>0.11</v>
      </c>
      <c r="G67" s="77" t="s">
        <v>60</v>
      </c>
      <c r="H67" s="78">
        <v>-0.08</v>
      </c>
      <c r="I67" s="78">
        <v>0.05</v>
      </c>
      <c r="J67" s="79" t="s">
        <v>60</v>
      </c>
      <c r="K67" s="78">
        <v>-0.42</v>
      </c>
      <c r="L67" s="78">
        <v>0.01</v>
      </c>
      <c r="M67" s="78">
        <v>0.43</v>
      </c>
      <c r="N67" s="78">
        <v>-3.31</v>
      </c>
      <c r="O67" s="78">
        <v>-0.07</v>
      </c>
      <c r="P67" s="77" t="s">
        <v>60</v>
      </c>
      <c r="Q67" s="78">
        <v>-0.17</v>
      </c>
      <c r="R67" s="78">
        <v>0.12</v>
      </c>
      <c r="S67" s="78">
        <v>-0.09</v>
      </c>
      <c r="T67" s="78">
        <v>-0.12</v>
      </c>
      <c r="U67" s="79" t="s">
        <v>60</v>
      </c>
      <c r="V67" s="78">
        <v>0.42</v>
      </c>
      <c r="W67" s="78">
        <v>-0.22</v>
      </c>
    </row>
    <row x14ac:dyDescent="0.25" r="68" customHeight="1" ht="17.25">
      <c r="A68" s="74" t="s">
        <v>56</v>
      </c>
      <c r="B68" s="74" t="s">
        <v>112</v>
      </c>
      <c r="C68" s="74" t="s">
        <v>113</v>
      </c>
      <c r="D68" s="75">
        <v>2024</v>
      </c>
      <c r="E68" s="76">
        <v>89111.2578125</v>
      </c>
      <c r="F68" s="76">
        <v>40203.1694335938</v>
      </c>
      <c r="G68" s="22"/>
      <c r="H68" s="76">
        <v>42642.1208496094</v>
      </c>
      <c r="I68" s="76">
        <v>25154.9200286865</v>
      </c>
      <c r="J68" s="76">
        <v>2074.87997436523</v>
      </c>
      <c r="K68" s="76">
        <v>2630.87997436523</v>
      </c>
      <c r="L68" s="76">
        <v>30277.5199584961</v>
      </c>
      <c r="M68" s="76">
        <v>7615.61006069183</v>
      </c>
      <c r="N68" s="76">
        <v>25385.4003143311</v>
      </c>
      <c r="O68" s="76">
        <v>104748.821212769</v>
      </c>
      <c r="P68" s="22"/>
      <c r="Q68" s="76">
        <v>5518.5</v>
      </c>
      <c r="R68" s="76">
        <v>64912.1099224091</v>
      </c>
      <c r="S68" s="76">
        <v>2452.17997741699</v>
      </c>
      <c r="T68" s="76">
        <v>10431.1601715088</v>
      </c>
      <c r="U68" s="76">
        <v>3194.97003173828</v>
      </c>
      <c r="V68" s="76">
        <v>36248.9794921875</v>
      </c>
      <c r="W68" s="76">
        <v>18899.0798187256</v>
      </c>
    </row>
    <row x14ac:dyDescent="0.25" r="69" customHeight="1" ht="17.25">
      <c r="A69" s="74" t="s">
        <v>56</v>
      </c>
      <c r="B69" s="74" t="s">
        <v>112</v>
      </c>
      <c r="C69" s="74" t="s">
        <v>113</v>
      </c>
      <c r="D69" s="75">
        <v>2025</v>
      </c>
      <c r="E69" s="76">
        <v>142794.670898438</v>
      </c>
      <c r="F69" s="76">
        <v>57808.6005859375</v>
      </c>
      <c r="G69" s="22"/>
      <c r="H69" s="76">
        <v>68339.1201171875</v>
      </c>
      <c r="I69" s="76">
        <v>34428.140625</v>
      </c>
      <c r="J69" s="29"/>
      <c r="K69" s="76">
        <v>3963.41993713379</v>
      </c>
      <c r="L69" s="76">
        <v>48991.0697631836</v>
      </c>
      <c r="M69" s="76">
        <v>9384.19988775253</v>
      </c>
      <c r="N69" s="76">
        <v>82730.3918075562</v>
      </c>
      <c r="O69" s="76">
        <v>216434.277362823</v>
      </c>
      <c r="P69" s="22"/>
      <c r="Q69" s="75">
        <v>6435</v>
      </c>
      <c r="R69" s="76">
        <v>81933.8703174591</v>
      </c>
      <c r="S69" s="76">
        <v>3093.88000488281</v>
      </c>
      <c r="T69" s="76">
        <v>10639.5701904297</v>
      </c>
      <c r="U69" s="76">
        <v>1421.65998840332</v>
      </c>
      <c r="V69" s="76">
        <v>85329.6292266846</v>
      </c>
      <c r="W69" s="76">
        <v>28548.8102416992</v>
      </c>
    </row>
    <row x14ac:dyDescent="0.25" r="70" customHeight="1" ht="17.25">
      <c r="A70" s="74" t="s">
        <v>56</v>
      </c>
      <c r="B70" s="74" t="s">
        <v>112</v>
      </c>
      <c r="C70" s="74" t="s">
        <v>113</v>
      </c>
      <c r="D70" s="77" t="s">
        <v>59</v>
      </c>
      <c r="E70" s="78">
        <v>0.6</v>
      </c>
      <c r="F70" s="78">
        <v>0.44</v>
      </c>
      <c r="G70" s="77" t="s">
        <v>60</v>
      </c>
      <c r="H70" s="78">
        <v>0.6</v>
      </c>
      <c r="I70" s="78">
        <v>0.37</v>
      </c>
      <c r="J70" s="78">
        <v>-1</v>
      </c>
      <c r="K70" s="78">
        <v>0.51</v>
      </c>
      <c r="L70" s="78">
        <v>0.62</v>
      </c>
      <c r="M70" s="78">
        <v>0.23</v>
      </c>
      <c r="N70" s="78">
        <v>2.26</v>
      </c>
      <c r="O70" s="78">
        <v>1.07</v>
      </c>
      <c r="P70" s="77" t="s">
        <v>60</v>
      </c>
      <c r="Q70" s="78">
        <v>0.17</v>
      </c>
      <c r="R70" s="78">
        <v>0.26</v>
      </c>
      <c r="S70" s="78">
        <v>0.26</v>
      </c>
      <c r="T70" s="78">
        <v>0.02</v>
      </c>
      <c r="U70" s="78">
        <v>-0.56</v>
      </c>
      <c r="V70" s="78">
        <v>1.35</v>
      </c>
      <c r="W70" s="78">
        <v>0.51</v>
      </c>
    </row>
    <row x14ac:dyDescent="0.25" r="71" customHeight="1" ht="17.25">
      <c r="A71" s="74" t="s">
        <v>56</v>
      </c>
      <c r="B71" s="74" t="s">
        <v>114</v>
      </c>
      <c r="C71" s="74" t="s">
        <v>115</v>
      </c>
      <c r="D71" s="75">
        <v>2024</v>
      </c>
      <c r="E71" s="76">
        <v>126281.831054688</v>
      </c>
      <c r="F71" s="76">
        <v>73286.751953125</v>
      </c>
      <c r="G71" s="22"/>
      <c r="H71" s="76">
        <v>68120.150390625</v>
      </c>
      <c r="I71" s="76">
        <v>48508.1495361328</v>
      </c>
      <c r="J71" s="76">
        <v>2316.91000366211</v>
      </c>
      <c r="K71" s="76">
        <v>5637.8900680542</v>
      </c>
      <c r="L71" s="76">
        <v>59605.7999267578</v>
      </c>
      <c r="M71" s="76">
        <v>34312.8995809555</v>
      </c>
      <c r="N71" s="76">
        <v>52124.7006378174</v>
      </c>
      <c r="O71" s="76">
        <v>267505.7202034</v>
      </c>
      <c r="P71" s="22"/>
      <c r="Q71" s="76">
        <v>9184.5</v>
      </c>
      <c r="R71" s="76">
        <v>102426.890903473</v>
      </c>
      <c r="S71" s="76">
        <v>6634.7600402832</v>
      </c>
      <c r="T71" s="76">
        <v>15747.6203308105</v>
      </c>
      <c r="U71" s="76">
        <v>22089.9001159668</v>
      </c>
      <c r="V71" s="76">
        <v>79667.6303863525</v>
      </c>
      <c r="W71" s="76">
        <v>67527.0299930573</v>
      </c>
    </row>
    <row x14ac:dyDescent="0.25" r="72" customHeight="1" ht="17.25">
      <c r="A72" s="74" t="s">
        <v>56</v>
      </c>
      <c r="B72" s="74" t="s">
        <v>114</v>
      </c>
      <c r="C72" s="74" t="s">
        <v>115</v>
      </c>
      <c r="D72" s="75">
        <v>2025</v>
      </c>
      <c r="E72" s="76">
        <v>90293.359375</v>
      </c>
      <c r="F72" s="76">
        <v>52614.2202148438</v>
      </c>
      <c r="G72" s="22"/>
      <c r="H72" s="76">
        <v>47441.4799804688</v>
      </c>
      <c r="I72" s="76">
        <v>32618.4600830078</v>
      </c>
      <c r="J72" s="76">
        <v>2720.37998962402</v>
      </c>
      <c r="K72" s="76">
        <v>6252.89001464844</v>
      </c>
      <c r="L72" s="76">
        <v>32009.6599578857</v>
      </c>
      <c r="M72" s="76">
        <v>13477.3999862671</v>
      </c>
      <c r="N72" s="76">
        <v>34641.5900535584</v>
      </c>
      <c r="O72" s="76">
        <v>121711.099775314</v>
      </c>
      <c r="P72" s="22"/>
      <c r="Q72" s="76">
        <v>5515.25</v>
      </c>
      <c r="R72" s="76">
        <v>98827.4300918579</v>
      </c>
      <c r="S72" s="76">
        <v>3369.05007171631</v>
      </c>
      <c r="T72" s="76">
        <v>10121.3600254059</v>
      </c>
      <c r="U72" s="76">
        <v>13384.5001068115</v>
      </c>
      <c r="V72" s="76">
        <v>63862.1485290527</v>
      </c>
      <c r="W72" s="76">
        <v>56675.6592693329</v>
      </c>
    </row>
    <row x14ac:dyDescent="0.25" r="73" customHeight="1" ht="17.25">
      <c r="A73" s="74" t="s">
        <v>56</v>
      </c>
      <c r="B73" s="74" t="s">
        <v>114</v>
      </c>
      <c r="C73" s="74" t="s">
        <v>115</v>
      </c>
      <c r="D73" s="77" t="s">
        <v>59</v>
      </c>
      <c r="E73" s="78">
        <v>-0.28</v>
      </c>
      <c r="F73" s="78">
        <v>-0.28</v>
      </c>
      <c r="G73" s="77" t="s">
        <v>60</v>
      </c>
      <c r="H73" s="78">
        <v>-0.3</v>
      </c>
      <c r="I73" s="78">
        <v>-0.33</v>
      </c>
      <c r="J73" s="78">
        <v>0.17</v>
      </c>
      <c r="K73" s="78">
        <v>0.11</v>
      </c>
      <c r="L73" s="78">
        <v>-0.46</v>
      </c>
      <c r="M73" s="78">
        <v>-0.61</v>
      </c>
      <c r="N73" s="78">
        <v>-0.34</v>
      </c>
      <c r="O73" s="78">
        <v>-0.55</v>
      </c>
      <c r="P73" s="77" t="s">
        <v>60</v>
      </c>
      <c r="Q73" s="78">
        <v>-0.4</v>
      </c>
      <c r="R73" s="78">
        <v>-0.04</v>
      </c>
      <c r="S73" s="78">
        <v>-0.49</v>
      </c>
      <c r="T73" s="78">
        <v>-0.36</v>
      </c>
      <c r="U73" s="78">
        <v>-0.39</v>
      </c>
      <c r="V73" s="78">
        <v>-0.2</v>
      </c>
      <c r="W73" s="78">
        <v>-0.16</v>
      </c>
    </row>
    <row x14ac:dyDescent="0.25" r="74" customHeight="1" ht="17.25">
      <c r="A74" s="74" t="s">
        <v>56</v>
      </c>
      <c r="B74" s="74" t="s">
        <v>116</v>
      </c>
      <c r="C74" s="74" t="s">
        <v>117</v>
      </c>
      <c r="D74" s="75">
        <v>2024</v>
      </c>
      <c r="E74" s="76">
        <v>5398.75</v>
      </c>
      <c r="F74" s="76">
        <v>2545.8798828125</v>
      </c>
      <c r="G74" s="22"/>
      <c r="H74" s="76">
        <v>1631.69995117188</v>
      </c>
      <c r="I74" s="76">
        <v>1730.57006835938</v>
      </c>
      <c r="J74" s="76">
        <v>899.090026855469</v>
      </c>
      <c r="K74" s="76">
        <v>68.3399963378906</v>
      </c>
      <c r="L74" s="76">
        <v>1462.35997772217</v>
      </c>
      <c r="M74" s="75">
        <v>441</v>
      </c>
      <c r="N74" s="76">
        <v>1385.85998535156</v>
      </c>
      <c r="O74" s="76">
        <v>5784.58004760742</v>
      </c>
      <c r="P74" s="22"/>
      <c r="Q74" s="76">
        <v>237.25</v>
      </c>
      <c r="R74" s="76">
        <v>2863.65001892112</v>
      </c>
      <c r="S74" s="76">
        <v>229.169998168945</v>
      </c>
      <c r="T74" s="76">
        <v>654.240007400513</v>
      </c>
      <c r="U74" s="76">
        <v>1139.66999816895</v>
      </c>
      <c r="V74" s="76">
        <v>3917.69995117188</v>
      </c>
      <c r="W74" s="76">
        <v>3945.47994995117</v>
      </c>
    </row>
    <row x14ac:dyDescent="0.25" r="75" customHeight="1" ht="17.25">
      <c r="A75" s="74" t="s">
        <v>56</v>
      </c>
      <c r="B75" s="74" t="s">
        <v>116</v>
      </c>
      <c r="C75" s="74" t="s">
        <v>117</v>
      </c>
      <c r="D75" s="75">
        <v>2025</v>
      </c>
      <c r="E75" s="76">
        <v>4026.68005371094</v>
      </c>
      <c r="F75" s="76">
        <v>3238.9001159668</v>
      </c>
      <c r="G75" s="22"/>
      <c r="H75" s="76">
        <v>2935.07992553711</v>
      </c>
      <c r="I75" s="76">
        <v>1407.88996505737</v>
      </c>
      <c r="J75" s="76">
        <v>34.1699981689453</v>
      </c>
      <c r="K75" s="29"/>
      <c r="L75" s="76">
        <v>4333.08992767334</v>
      </c>
      <c r="M75" s="76">
        <v>2349.36999511719</v>
      </c>
      <c r="N75" s="76">
        <v>5491.14987182617</v>
      </c>
      <c r="O75" s="76">
        <v>14860.3599395752</v>
      </c>
      <c r="P75" s="22"/>
      <c r="Q75" s="76">
        <v>149.5</v>
      </c>
      <c r="R75" s="76">
        <v>3781.25001716614</v>
      </c>
      <c r="S75" s="76">
        <v>275.019989013672</v>
      </c>
      <c r="T75" s="76">
        <v>464.010009765625</v>
      </c>
      <c r="U75" s="76">
        <v>823.010009765625</v>
      </c>
      <c r="V75" s="76">
        <v>5546.58984375</v>
      </c>
      <c r="W75" s="76">
        <v>4242.27012443542</v>
      </c>
    </row>
    <row x14ac:dyDescent="0.25" r="76" customHeight="1" ht="17.25">
      <c r="A76" s="74" t="s">
        <v>56</v>
      </c>
      <c r="B76" s="74" t="s">
        <v>116</v>
      </c>
      <c r="C76" s="74" t="s">
        <v>117</v>
      </c>
      <c r="D76" s="77" t="s">
        <v>59</v>
      </c>
      <c r="E76" s="78">
        <v>-0.25</v>
      </c>
      <c r="F76" s="78">
        <v>0.27</v>
      </c>
      <c r="G76" s="77" t="s">
        <v>60</v>
      </c>
      <c r="H76" s="78">
        <v>0.8</v>
      </c>
      <c r="I76" s="78">
        <v>-0.19</v>
      </c>
      <c r="J76" s="78">
        <v>-0.96</v>
      </c>
      <c r="K76" s="78">
        <v>-1</v>
      </c>
      <c r="L76" s="78">
        <v>1.96</v>
      </c>
      <c r="M76" s="78">
        <v>4.33</v>
      </c>
      <c r="N76" s="78">
        <v>2.96</v>
      </c>
      <c r="O76" s="78">
        <v>1.57</v>
      </c>
      <c r="P76" s="77" t="s">
        <v>60</v>
      </c>
      <c r="Q76" s="78">
        <v>-0.37</v>
      </c>
      <c r="R76" s="78">
        <v>0.32</v>
      </c>
      <c r="S76" s="78">
        <v>0.2</v>
      </c>
      <c r="T76" s="78">
        <v>-0.29</v>
      </c>
      <c r="U76" s="78">
        <v>-0.28</v>
      </c>
      <c r="V76" s="78">
        <v>0.42</v>
      </c>
      <c r="W76" s="78">
        <v>0.08</v>
      </c>
    </row>
    <row x14ac:dyDescent="0.25" r="77" customHeight="1" ht="17.25">
      <c r="A77" s="74" t="s">
        <v>56</v>
      </c>
      <c r="B77" s="74" t="s">
        <v>118</v>
      </c>
      <c r="C77" s="74" t="s">
        <v>118</v>
      </c>
      <c r="D77" s="75">
        <v>2024</v>
      </c>
      <c r="E77" s="76">
        <v>6346228.08239174</v>
      </c>
      <c r="F77" s="76">
        <v>5299469.48509216</v>
      </c>
      <c r="G77" s="75">
        <v>0</v>
      </c>
      <c r="H77" s="76">
        <v>3307012.20770669</v>
      </c>
      <c r="I77" s="76">
        <v>2395124.21940136</v>
      </c>
      <c r="J77" s="75">
        <v>2680</v>
      </c>
      <c r="K77" s="75">
        <v>279955</v>
      </c>
      <c r="L77" s="76">
        <v>3482624.64006805</v>
      </c>
      <c r="M77" s="76">
        <v>365757.979492188</v>
      </c>
      <c r="N77" s="76">
        <v>4531682.05315447</v>
      </c>
      <c r="O77" s="76">
        <v>3239096.82182121</v>
      </c>
      <c r="P77" s="75">
        <v>0</v>
      </c>
      <c r="Q77" s="76">
        <v>135265.140313148</v>
      </c>
      <c r="R77" s="76">
        <v>4412863.57437992</v>
      </c>
      <c r="S77" s="76">
        <v>157378.5</v>
      </c>
      <c r="T77" s="76">
        <v>918734.126831055</v>
      </c>
      <c r="U77" s="76">
        <v>419081.014465333</v>
      </c>
      <c r="V77" s="76">
        <v>2476093.83022976</v>
      </c>
      <c r="W77" s="76">
        <v>1183052.57446516</v>
      </c>
    </row>
    <row x14ac:dyDescent="0.25" r="78" customHeight="1" ht="17.25">
      <c r="A78" s="74" t="s">
        <v>56</v>
      </c>
      <c r="B78" s="74" t="s">
        <v>118</v>
      </c>
      <c r="C78" s="74" t="s">
        <v>118</v>
      </c>
      <c r="D78" s="75">
        <v>2025</v>
      </c>
      <c r="E78" s="76">
        <v>5904932.44293642</v>
      </c>
      <c r="F78" s="76">
        <v>4617000.13040924</v>
      </c>
      <c r="G78" s="75">
        <v>0</v>
      </c>
      <c r="H78" s="76">
        <v>3076331.28172064</v>
      </c>
      <c r="I78" s="76">
        <v>2091911.14469337</v>
      </c>
      <c r="J78" s="75">
        <v>402</v>
      </c>
      <c r="K78" s="75">
        <v>288145</v>
      </c>
      <c r="L78" s="76">
        <v>4008841.22000885</v>
      </c>
      <c r="M78" s="76">
        <v>508335.818434953</v>
      </c>
      <c r="N78" s="76">
        <v>3639794.81611633</v>
      </c>
      <c r="O78" s="76">
        <v>3169596.39015389</v>
      </c>
      <c r="P78" s="75">
        <v>0</v>
      </c>
      <c r="Q78" s="76">
        <v>106381.831718445</v>
      </c>
      <c r="R78" s="76">
        <v>5367516.52729606</v>
      </c>
      <c r="S78" s="76">
        <v>79323.75</v>
      </c>
      <c r="T78" s="76">
        <v>530280.677703857</v>
      </c>
      <c r="U78" s="76">
        <v>344078.972717285</v>
      </c>
      <c r="V78" s="76">
        <v>3285838.31738377</v>
      </c>
      <c r="W78" s="76">
        <v>1580799.30720615</v>
      </c>
    </row>
    <row x14ac:dyDescent="0.25" r="79" customHeight="1" ht="17.25">
      <c r="A79" s="74" t="s">
        <v>56</v>
      </c>
      <c r="B79" s="74" t="s">
        <v>118</v>
      </c>
      <c r="C79" s="74" t="s">
        <v>118</v>
      </c>
      <c r="D79" s="77" t="s">
        <v>59</v>
      </c>
      <c r="E79" s="78">
        <v>-0.07</v>
      </c>
      <c r="F79" s="78">
        <v>-0.13</v>
      </c>
      <c r="G79" s="77" t="s">
        <v>60</v>
      </c>
      <c r="H79" s="78">
        <v>-0.07</v>
      </c>
      <c r="I79" s="78">
        <v>-0.13</v>
      </c>
      <c r="J79" s="78">
        <v>-0.85</v>
      </c>
      <c r="K79" s="78">
        <v>0.03</v>
      </c>
      <c r="L79" s="78">
        <v>0.15</v>
      </c>
      <c r="M79" s="78">
        <v>0.39</v>
      </c>
      <c r="N79" s="78">
        <v>-0.2</v>
      </c>
      <c r="O79" s="78">
        <v>-0.02</v>
      </c>
      <c r="P79" s="77" t="s">
        <v>60</v>
      </c>
      <c r="Q79" s="78">
        <v>-0.21</v>
      </c>
      <c r="R79" s="78">
        <v>0.22</v>
      </c>
      <c r="S79" s="78">
        <v>-0.5</v>
      </c>
      <c r="T79" s="78">
        <v>-0.42</v>
      </c>
      <c r="U79" s="78">
        <v>-0.18</v>
      </c>
      <c r="V79" s="78">
        <v>0.33</v>
      </c>
      <c r="W79" s="78">
        <v>0.34</v>
      </c>
    </row>
    <row x14ac:dyDescent="0.25" r="80" customHeight="1" ht="17.25">
      <c r="A80" s="74" t="s">
        <v>56</v>
      </c>
      <c r="B80" s="74" t="s">
        <v>119</v>
      </c>
      <c r="C80" s="74" t="s">
        <v>120</v>
      </c>
      <c r="D80" s="75">
        <v>2024</v>
      </c>
      <c r="E80" s="76">
        <v>1069860.84136963</v>
      </c>
      <c r="F80" s="76">
        <v>651072.471008302</v>
      </c>
      <c r="G80" s="75">
        <v>0</v>
      </c>
      <c r="H80" s="76">
        <v>533383.96307373</v>
      </c>
      <c r="I80" s="76">
        <v>374650.417861939</v>
      </c>
      <c r="J80" s="76">
        <v>1556.13000488281</v>
      </c>
      <c r="K80" s="76">
        <v>41514.450378418</v>
      </c>
      <c r="L80" s="76">
        <v>541229.567626953</v>
      </c>
      <c r="M80" s="76">
        <v>161600.289061546</v>
      </c>
      <c r="N80" s="76">
        <v>255938.026318064</v>
      </c>
      <c r="O80" s="76">
        <v>2130849.83421469</v>
      </c>
      <c r="P80" s="75">
        <v>0</v>
      </c>
      <c r="Q80" s="76">
        <v>72861.75</v>
      </c>
      <c r="R80" s="76">
        <v>872374.78531456</v>
      </c>
      <c r="S80" s="76">
        <v>24932.0000782013</v>
      </c>
      <c r="T80" s="76">
        <v>159655.44937706</v>
      </c>
      <c r="U80" s="76">
        <v>87651.1201171876</v>
      </c>
      <c r="V80" s="76">
        <v>540023.755447388</v>
      </c>
      <c r="W80" s="76">
        <v>282533.811980724</v>
      </c>
    </row>
    <row x14ac:dyDescent="0.25" r="81" customHeight="1" ht="17.25">
      <c r="A81" s="74" t="s">
        <v>56</v>
      </c>
      <c r="B81" s="74" t="s">
        <v>119</v>
      </c>
      <c r="C81" s="74" t="s">
        <v>120</v>
      </c>
      <c r="D81" s="75">
        <v>2025</v>
      </c>
      <c r="E81" s="76">
        <v>1030343.02560425</v>
      </c>
      <c r="F81" s="76">
        <v>614617.9828434</v>
      </c>
      <c r="G81" s="75">
        <v>0</v>
      </c>
      <c r="H81" s="76">
        <v>540168.680027008</v>
      </c>
      <c r="I81" s="76">
        <v>355251.457490921</v>
      </c>
      <c r="J81" s="76">
        <v>16810.9099655151</v>
      </c>
      <c r="K81" s="76">
        <v>30546.1500854492</v>
      </c>
      <c r="L81" s="76">
        <v>515177.591594696</v>
      </c>
      <c r="M81" s="76">
        <v>169107.220116615</v>
      </c>
      <c r="N81" s="76">
        <v>248512.999626636</v>
      </c>
      <c r="O81" s="76">
        <v>1895245.50660384</v>
      </c>
      <c r="P81" s="75">
        <v>0</v>
      </c>
      <c r="Q81" s="76">
        <v>73264.75</v>
      </c>
      <c r="R81" s="76">
        <v>1046861.82118057</v>
      </c>
      <c r="S81" s="76">
        <v>20534.4498443604</v>
      </c>
      <c r="T81" s="76">
        <v>128113.23972702</v>
      </c>
      <c r="U81" s="76">
        <v>73304.189956665</v>
      </c>
      <c r="V81" s="76">
        <v>614483.504241943</v>
      </c>
      <c r="W81" s="76">
        <v>197507.620839119</v>
      </c>
    </row>
    <row x14ac:dyDescent="0.25" r="82" customHeight="1" ht="17.25">
      <c r="A82" s="74" t="s">
        <v>56</v>
      </c>
      <c r="B82" s="74" t="s">
        <v>119</v>
      </c>
      <c r="C82" s="74" t="s">
        <v>120</v>
      </c>
      <c r="D82" s="77" t="s">
        <v>59</v>
      </c>
      <c r="E82" s="78">
        <v>-0.04</v>
      </c>
      <c r="F82" s="78">
        <v>-0.06</v>
      </c>
      <c r="G82" s="77" t="s">
        <v>60</v>
      </c>
      <c r="H82" s="78">
        <v>0.01</v>
      </c>
      <c r="I82" s="78">
        <v>-0.05</v>
      </c>
      <c r="J82" s="78">
        <v>9.8</v>
      </c>
      <c r="K82" s="78">
        <v>-0.26</v>
      </c>
      <c r="L82" s="78">
        <v>-0.05</v>
      </c>
      <c r="M82" s="78">
        <v>0.05</v>
      </c>
      <c r="N82" s="78">
        <v>-0.03</v>
      </c>
      <c r="O82" s="78">
        <v>-0.11</v>
      </c>
      <c r="P82" s="77" t="s">
        <v>60</v>
      </c>
      <c r="Q82" s="78">
        <v>0.01</v>
      </c>
      <c r="R82" s="78">
        <v>0.2</v>
      </c>
      <c r="S82" s="78">
        <v>-0.18</v>
      </c>
      <c r="T82" s="78">
        <v>-0.2</v>
      </c>
      <c r="U82" s="78">
        <v>-0.16</v>
      </c>
      <c r="V82" s="78">
        <v>0.14</v>
      </c>
      <c r="W82" s="78">
        <v>-0.3</v>
      </c>
    </row>
    <row x14ac:dyDescent="0.25" r="83" customHeight="1" ht="17.25">
      <c r="A83" s="74" t="s">
        <v>56</v>
      </c>
      <c r="B83" s="74" t="s">
        <v>121</v>
      </c>
      <c r="C83" s="74" t="s">
        <v>122</v>
      </c>
      <c r="D83" s="75">
        <v>2024</v>
      </c>
      <c r="E83" s="76">
        <v>1171864.23022461</v>
      </c>
      <c r="F83" s="76">
        <v>525806.219688416</v>
      </c>
      <c r="G83" s="75">
        <v>0</v>
      </c>
      <c r="H83" s="76">
        <v>608465.248519898</v>
      </c>
      <c r="I83" s="76">
        <v>342788.302825928</v>
      </c>
      <c r="J83" s="76">
        <v>10266.3099365234</v>
      </c>
      <c r="K83" s="76">
        <v>55386.6000900269</v>
      </c>
      <c r="L83" s="76">
        <v>522328.939617156</v>
      </c>
      <c r="M83" s="76">
        <v>213886.089921951</v>
      </c>
      <c r="N83" s="76">
        <v>229548.980800152</v>
      </c>
      <c r="O83" s="76">
        <v>1845053.49094582</v>
      </c>
      <c r="P83" s="75">
        <v>0</v>
      </c>
      <c r="Q83" s="75">
        <v>68302</v>
      </c>
      <c r="R83" s="76">
        <v>864430.666405182</v>
      </c>
      <c r="S83" s="76">
        <v>32609.8300170898</v>
      </c>
      <c r="T83" s="76">
        <v>128306.130594253</v>
      </c>
      <c r="U83" s="76">
        <v>73159.0002288818</v>
      </c>
      <c r="V83" s="76">
        <v>569872.902238845</v>
      </c>
      <c r="W83" s="76">
        <v>275096.300505638</v>
      </c>
    </row>
    <row x14ac:dyDescent="0.25" r="84" customHeight="1" ht="17.25">
      <c r="A84" s="74" t="s">
        <v>56</v>
      </c>
      <c r="B84" s="74" t="s">
        <v>121</v>
      </c>
      <c r="C84" s="74" t="s">
        <v>122</v>
      </c>
      <c r="D84" s="75">
        <v>2025</v>
      </c>
      <c r="E84" s="76">
        <v>1188974.72462464</v>
      </c>
      <c r="F84" s="76">
        <v>523232.467788696</v>
      </c>
      <c r="G84" s="75">
        <v>0</v>
      </c>
      <c r="H84" s="76">
        <v>611819.484649659</v>
      </c>
      <c r="I84" s="76">
        <v>321928.611782074</v>
      </c>
      <c r="J84" s="76">
        <v>11408.0000686645</v>
      </c>
      <c r="K84" s="76">
        <v>49338.509979248</v>
      </c>
      <c r="L84" s="76">
        <v>538605.260129928</v>
      </c>
      <c r="M84" s="76">
        <v>205846.970177174</v>
      </c>
      <c r="N84" s="76">
        <v>340678.312476158</v>
      </c>
      <c r="O84" s="76">
        <v>1854330.56506491</v>
      </c>
      <c r="P84" s="75">
        <v>0</v>
      </c>
      <c r="Q84" s="76">
        <v>57193.5</v>
      </c>
      <c r="R84" s="76">
        <v>1013684.29275703</v>
      </c>
      <c r="S84" s="76">
        <v>26126.5898666382</v>
      </c>
      <c r="T84" s="76">
        <v>106073.390817642</v>
      </c>
      <c r="U84" s="76">
        <v>52143.1701049804</v>
      </c>
      <c r="V84" s="76">
        <v>708425.423465729</v>
      </c>
      <c r="W84" s="76">
        <v>301909.458780289</v>
      </c>
    </row>
    <row x14ac:dyDescent="0.25" r="85" customHeight="1" ht="17.25">
      <c r="A85" s="74" t="s">
        <v>56</v>
      </c>
      <c r="B85" s="74" t="s">
        <v>121</v>
      </c>
      <c r="C85" s="74" t="s">
        <v>122</v>
      </c>
      <c r="D85" s="77" t="s">
        <v>59</v>
      </c>
      <c r="E85" s="78">
        <v>0.01</v>
      </c>
      <c r="F85" s="78">
        <v>0</v>
      </c>
      <c r="G85" s="77" t="s">
        <v>60</v>
      </c>
      <c r="H85" s="78">
        <v>0.01</v>
      </c>
      <c r="I85" s="78">
        <v>-0.06</v>
      </c>
      <c r="J85" s="78">
        <v>0.11</v>
      </c>
      <c r="K85" s="78">
        <v>-0.11</v>
      </c>
      <c r="L85" s="78">
        <v>0.03</v>
      </c>
      <c r="M85" s="78">
        <v>-0.04</v>
      </c>
      <c r="N85" s="78">
        <v>0.48</v>
      </c>
      <c r="O85" s="78">
        <v>0.01</v>
      </c>
      <c r="P85" s="77" t="s">
        <v>60</v>
      </c>
      <c r="Q85" s="78">
        <v>-0.16</v>
      </c>
      <c r="R85" s="78">
        <v>0.17</v>
      </c>
      <c r="S85" s="78">
        <v>-0.2</v>
      </c>
      <c r="T85" s="78">
        <v>-0.17</v>
      </c>
      <c r="U85" s="78">
        <v>-0.29</v>
      </c>
      <c r="V85" s="78">
        <v>0.24</v>
      </c>
      <c r="W85" s="78">
        <v>0.1</v>
      </c>
    </row>
    <row x14ac:dyDescent="0.25" r="86" customHeight="1" ht="17.25">
      <c r="A86" s="74" t="s">
        <v>56</v>
      </c>
      <c r="B86" s="74" t="s">
        <v>123</v>
      </c>
      <c r="C86" s="74" t="s">
        <v>123</v>
      </c>
      <c r="D86" s="75">
        <v>2024</v>
      </c>
      <c r="E86" s="76">
        <v>8587953.15398598</v>
      </c>
      <c r="F86" s="76">
        <v>6476348.17578888</v>
      </c>
      <c r="G86" s="75">
        <v>0</v>
      </c>
      <c r="H86" s="76">
        <v>4448861.41930032</v>
      </c>
      <c r="I86" s="76">
        <v>3112562.94008923</v>
      </c>
      <c r="J86" s="76">
        <v>14502.4399414063</v>
      </c>
      <c r="K86" s="76">
        <v>376856.050468445</v>
      </c>
      <c r="L86" s="76">
        <v>4546183.14731216</v>
      </c>
      <c r="M86" s="76">
        <v>741244.358475686</v>
      </c>
      <c r="N86" s="76">
        <v>5017169.06027269</v>
      </c>
      <c r="O86" s="76">
        <v>7215000.14698172</v>
      </c>
      <c r="P86" s="75">
        <v>0</v>
      </c>
      <c r="Q86" s="76">
        <v>276428.890313149</v>
      </c>
      <c r="R86" s="76">
        <v>6149669.02609966</v>
      </c>
      <c r="S86" s="76">
        <v>214920.330095291</v>
      </c>
      <c r="T86" s="76">
        <v>1206695.70680237</v>
      </c>
      <c r="U86" s="76">
        <v>579891.134811402</v>
      </c>
      <c r="V86" s="76">
        <v>3585990.48791599</v>
      </c>
      <c r="W86" s="76">
        <v>1740682.68695152</v>
      </c>
    </row>
    <row x14ac:dyDescent="0.25" r="87" customHeight="1" ht="17.25">
      <c r="A87" s="74" t="s">
        <v>56</v>
      </c>
      <c r="B87" s="74" t="s">
        <v>123</v>
      </c>
      <c r="C87" s="74" t="s">
        <v>123</v>
      </c>
      <c r="D87" s="75">
        <v>2025</v>
      </c>
      <c r="E87" s="76">
        <v>8124250.19316531</v>
      </c>
      <c r="F87" s="76">
        <v>5754850.58104133</v>
      </c>
      <c r="G87" s="75">
        <v>0</v>
      </c>
      <c r="H87" s="76">
        <v>4228319.44639731</v>
      </c>
      <c r="I87" s="76">
        <v>2769091.21396637</v>
      </c>
      <c r="J87" s="76">
        <v>28620.9100341797</v>
      </c>
      <c r="K87" s="76">
        <v>368029.660064697</v>
      </c>
      <c r="L87" s="76">
        <v>5062624.07173347</v>
      </c>
      <c r="M87" s="76">
        <v>883290.008728742</v>
      </c>
      <c r="N87" s="76">
        <v>4228986.12821913</v>
      </c>
      <c r="O87" s="76">
        <v>6919172.46182263</v>
      </c>
      <c r="P87" s="75">
        <v>0</v>
      </c>
      <c r="Q87" s="76">
        <v>236840.081718445</v>
      </c>
      <c r="R87" s="76">
        <v>7428062.64123367</v>
      </c>
      <c r="S87" s="76">
        <v>125984.789710999</v>
      </c>
      <c r="T87" s="76">
        <v>764467.30824852</v>
      </c>
      <c r="U87" s="76">
        <v>469526.332778931</v>
      </c>
      <c r="V87" s="76">
        <v>4608747.24509144</v>
      </c>
      <c r="W87" s="76">
        <v>2080216.38682556</v>
      </c>
    </row>
    <row x14ac:dyDescent="0.25" r="88" customHeight="1" ht="17.25">
      <c r="A88" s="74" t="s">
        <v>56</v>
      </c>
      <c r="B88" s="74" t="s">
        <v>123</v>
      </c>
      <c r="C88" s="74" t="s">
        <v>123</v>
      </c>
      <c r="D88" s="77" t="s">
        <v>59</v>
      </c>
      <c r="E88" s="78">
        <v>-0.05</v>
      </c>
      <c r="F88" s="78">
        <v>-0.11</v>
      </c>
      <c r="G88" s="77" t="s">
        <v>60</v>
      </c>
      <c r="H88" s="78">
        <v>-0.05</v>
      </c>
      <c r="I88" s="78">
        <v>-0.11</v>
      </c>
      <c r="J88" s="78">
        <v>0.97</v>
      </c>
      <c r="K88" s="78">
        <v>-0.02</v>
      </c>
      <c r="L88" s="78">
        <v>0.11</v>
      </c>
      <c r="M88" s="78">
        <v>0.19</v>
      </c>
      <c r="N88" s="78">
        <v>-0.16</v>
      </c>
      <c r="O88" s="78">
        <v>-0.04</v>
      </c>
      <c r="P88" s="77" t="s">
        <v>60</v>
      </c>
      <c r="Q88" s="78">
        <v>-0.14</v>
      </c>
      <c r="R88" s="78">
        <v>0.21</v>
      </c>
      <c r="S88" s="78">
        <v>-0.41</v>
      </c>
      <c r="T88" s="78">
        <v>-0.37</v>
      </c>
      <c r="U88" s="78">
        <v>-0.19</v>
      </c>
      <c r="V88" s="78">
        <v>0.29</v>
      </c>
      <c r="W88" s="78">
        <v>0.2</v>
      </c>
    </row>
  </sheetData>
  <mergeCells count="9">
    <mergeCell ref="T2:W2"/>
    <mergeCell ref="A5:B5"/>
    <mergeCell ref="E5:G5"/>
    <mergeCell ref="H5:I5"/>
    <mergeCell ref="J5:M5"/>
    <mergeCell ref="N5:P5"/>
    <mergeCell ref="S5:U5"/>
    <mergeCell ref="V5:V6"/>
    <mergeCell ref="W5:W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"/>
  <sheetViews>
    <sheetView workbookViewId="0"/>
  </sheetViews>
  <sheetFormatPr defaultRowHeight="15" x14ac:dyDescent="0.25"/>
  <cols>
    <col min="1" max="1" style="19" width="19.862142857142857" customWidth="1" bestFit="1"/>
    <col min="2" max="2" style="19" width="25.14785714285714" customWidth="1" bestFit="1"/>
    <col min="3" max="3" style="19" width="31.719285714285714" customWidth="1" bestFit="1"/>
    <col min="4" max="4" style="19" width="31.719285714285714" customWidth="1" bestFit="1"/>
    <col min="5" max="5" style="19" width="5.862142857142857" customWidth="1" bestFit="1"/>
    <col min="6" max="6" style="19" width="0.7192857142857143" customWidth="1" bestFit="1"/>
    <col min="7" max="7" style="20" width="9.147857142857141" customWidth="1" bestFit="1"/>
    <col min="8" max="8" style="20" width="8.576428571428572" customWidth="1" bestFit="1"/>
    <col min="9" max="9" style="20" width="8.290714285714287" customWidth="1" bestFit="1"/>
    <col min="10" max="10" style="20" width="7.433571428571429" customWidth="1" bestFit="1"/>
    <col min="11" max="11" style="20" width="7.719285714285714" customWidth="1" bestFit="1"/>
    <col min="12" max="12" style="20" width="9.147857142857141" customWidth="1" bestFit="1"/>
    <col min="13" max="13" style="20" width="7.862142857142857" customWidth="1" bestFit="1"/>
    <col min="14" max="14" style="19" width="7.862142857142857" customWidth="1" bestFit="1"/>
    <col min="15" max="15" style="19" width="8.147857142857141" customWidth="1" bestFit="1"/>
    <col min="16" max="16" style="24" width="7.719285714285714" customWidth="1" bestFit="1"/>
    <col min="17" max="17" style="19" width="8.005" customWidth="1" bestFit="1"/>
    <col min="18" max="18" style="20" width="8.005" customWidth="1" bestFit="1"/>
    <col min="19" max="19" style="19" width="8.862142857142858" customWidth="1" bestFit="1"/>
    <col min="20" max="20" style="20" width="8.43357142857143" customWidth="1" bestFit="1"/>
    <col min="21" max="21" style="20" width="8.147857142857141" customWidth="1" bestFit="1"/>
    <col min="22" max="22" style="20" width="8.43357142857143" customWidth="1" bestFit="1"/>
    <col min="23" max="23" style="19" width="7.576428571428571" customWidth="1" bestFit="1"/>
    <col min="24" max="24" style="19" width="8.147857142857141" customWidth="1" bestFit="1"/>
    <col min="25" max="25" style="19" width="12.43357142857143" customWidth="1" bestFit="1" hidden="1"/>
    <col min="26" max="26" style="19" width="12.43357142857143" customWidth="1" bestFit="1"/>
  </cols>
  <sheetData>
    <row x14ac:dyDescent="0.25" r="1" customHeight="1" ht="9.75">
      <c r="A1" s="1"/>
      <c r="B1" s="1"/>
      <c r="C1" s="2" t="s">
        <v>29</v>
      </c>
      <c r="D1" s="3"/>
      <c r="E1" s="3"/>
      <c r="F1" s="3"/>
      <c r="G1" s="4"/>
      <c r="H1" s="4"/>
      <c r="I1" s="4"/>
      <c r="J1" s="4"/>
      <c r="K1" s="4"/>
      <c r="L1" s="4"/>
      <c r="M1" s="4"/>
      <c r="N1" s="3"/>
      <c r="O1" s="3"/>
      <c r="P1" s="22"/>
      <c r="Q1" s="3"/>
      <c r="R1" s="5"/>
      <c r="S1" s="1"/>
      <c r="T1" s="5"/>
      <c r="U1" s="23">
        <f>+TODAY()</f>
        <v>25569</v>
      </c>
      <c r="V1" s="4"/>
      <c r="W1" s="3"/>
      <c r="X1" s="3"/>
      <c r="Y1" s="3"/>
      <c r="Z1" s="3"/>
    </row>
    <row x14ac:dyDescent="0.25" r="2" customHeight="1" ht="24.75">
      <c r="A2" s="1"/>
      <c r="B2" s="1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3"/>
      <c r="O2" s="3"/>
      <c r="P2" s="22"/>
      <c r="Q2" s="3"/>
      <c r="R2" s="5"/>
      <c r="S2" s="1"/>
      <c r="T2" s="5"/>
      <c r="U2" s="4"/>
      <c r="V2" s="4"/>
      <c r="W2" s="3"/>
      <c r="X2" s="3"/>
      <c r="Y2" s="3"/>
      <c r="Z2" s="3"/>
    </row>
    <row x14ac:dyDescent="0.25" r="3" customHeight="1" ht="17.25">
      <c r="A3" s="3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4"/>
      <c r="N3" s="3"/>
      <c r="O3" s="3"/>
      <c r="P3" s="22"/>
      <c r="Q3" s="3"/>
      <c r="R3" s="4"/>
      <c r="S3" s="3"/>
      <c r="T3" s="4"/>
      <c r="U3" s="4"/>
      <c r="V3" s="4"/>
      <c r="W3" s="3"/>
      <c r="X3" s="3"/>
      <c r="Y3" s="3"/>
      <c r="Z3" s="3"/>
    </row>
    <row x14ac:dyDescent="0.25" r="4" customHeight="1" ht="17.25">
      <c r="A4" s="3"/>
      <c r="B4" s="3"/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3"/>
      <c r="O4" s="3"/>
      <c r="P4" s="22"/>
      <c r="Q4" s="3"/>
      <c r="R4" s="4"/>
      <c r="S4" s="3"/>
      <c r="T4" s="4"/>
      <c r="U4" s="4"/>
      <c r="V4" s="4"/>
      <c r="W4" s="3"/>
      <c r="X4" s="3"/>
      <c r="Y4" s="3"/>
      <c r="Z4" s="3"/>
    </row>
    <row x14ac:dyDescent="0.25" r="5" customHeight="1" ht="14.25">
      <c r="A5" s="3"/>
      <c r="B5" s="3"/>
      <c r="C5" s="3"/>
      <c r="D5" s="3"/>
      <c r="E5" s="3"/>
      <c r="F5" s="3"/>
      <c r="G5" s="8" t="s">
        <v>30</v>
      </c>
      <c r="H5" s="10"/>
      <c r="I5" s="9"/>
      <c r="J5" s="8" t="s">
        <v>31</v>
      </c>
      <c r="K5" s="9"/>
      <c r="L5" s="8" t="s">
        <v>32</v>
      </c>
      <c r="M5" s="10"/>
      <c r="N5" s="12"/>
      <c r="O5" s="11"/>
      <c r="P5" s="8" t="s">
        <v>33</v>
      </c>
      <c r="Q5" s="11"/>
      <c r="R5" s="8" t="s">
        <v>34</v>
      </c>
      <c r="S5" s="14" t="s">
        <v>35</v>
      </c>
      <c r="T5" s="8" t="s">
        <v>36</v>
      </c>
      <c r="U5" s="10"/>
      <c r="V5" s="9"/>
      <c r="W5" s="17" t="s">
        <v>37</v>
      </c>
      <c r="X5" s="17" t="s">
        <v>38</v>
      </c>
      <c r="Y5" s="3"/>
      <c r="Z5" s="3"/>
    </row>
    <row x14ac:dyDescent="0.25" r="6" customHeight="1" ht="14.25">
      <c r="A6" s="3"/>
      <c r="B6" s="3"/>
      <c r="C6" s="3"/>
      <c r="D6" s="3"/>
      <c r="E6" s="3"/>
      <c r="F6" s="3"/>
      <c r="G6" s="15">
        <v>10</v>
      </c>
      <c r="H6" s="15">
        <v>100</v>
      </c>
      <c r="I6" s="8" t="s">
        <v>39</v>
      </c>
      <c r="J6" s="15">
        <v>10</v>
      </c>
      <c r="K6" s="15">
        <v>100</v>
      </c>
      <c r="L6" s="8" t="s">
        <v>40</v>
      </c>
      <c r="M6" s="8" t="s">
        <v>41</v>
      </c>
      <c r="N6" s="14" t="s">
        <v>42</v>
      </c>
      <c r="O6" s="14" t="s">
        <v>43</v>
      </c>
      <c r="P6" s="15">
        <v>36</v>
      </c>
      <c r="Q6" s="14" t="s">
        <v>44</v>
      </c>
      <c r="R6" s="8" t="s">
        <v>45</v>
      </c>
      <c r="S6" s="14" t="s">
        <v>46</v>
      </c>
      <c r="T6" s="8" t="s">
        <v>47</v>
      </c>
      <c r="U6" s="16">
        <v>88.5</v>
      </c>
      <c r="V6" s="8" t="s">
        <v>48</v>
      </c>
      <c r="W6" s="18"/>
      <c r="X6" s="18"/>
      <c r="Y6" s="3"/>
      <c r="Z6" s="3"/>
    </row>
    <row x14ac:dyDescent="0.25" r="7" customHeight="1" ht="14.25">
      <c r="A7" s="14" t="s">
        <v>19</v>
      </c>
      <c r="B7" s="14" t="s">
        <v>20</v>
      </c>
      <c r="C7" s="14" t="s">
        <v>21</v>
      </c>
      <c r="D7" s="14" t="s">
        <v>22</v>
      </c>
      <c r="E7" s="14" t="s">
        <v>23</v>
      </c>
      <c r="F7" s="14" t="s">
        <v>24</v>
      </c>
      <c r="G7" s="15">
        <v>401101</v>
      </c>
      <c r="H7" s="15">
        <v>401103</v>
      </c>
      <c r="I7" s="15">
        <v>401106</v>
      </c>
      <c r="J7" s="15">
        <v>402101</v>
      </c>
      <c r="K7" s="15">
        <v>402103</v>
      </c>
      <c r="L7" s="15">
        <v>406110</v>
      </c>
      <c r="M7" s="15">
        <v>406120</v>
      </c>
      <c r="N7" s="14" t="s">
        <v>49</v>
      </c>
      <c r="O7" s="14" t="s">
        <v>50</v>
      </c>
      <c r="P7" s="8" t="s">
        <v>51</v>
      </c>
      <c r="Q7" s="14" t="s">
        <v>52</v>
      </c>
      <c r="R7" s="15">
        <v>408101</v>
      </c>
      <c r="S7" s="14"/>
      <c r="T7" s="15">
        <v>415104</v>
      </c>
      <c r="U7" s="15">
        <v>415201</v>
      </c>
      <c r="V7" s="15">
        <v>415307</v>
      </c>
      <c r="W7" s="14"/>
      <c r="X7" s="14"/>
      <c r="Y7" s="3"/>
      <c r="Z7" s="3"/>
    </row>
  </sheetData>
  <mergeCells count="10">
    <mergeCell ref="C1:Q2"/>
    <mergeCell ref="U1:Z2"/>
    <mergeCell ref="A5:B5"/>
    <mergeCell ref="G5:I5"/>
    <mergeCell ref="J5:K5"/>
    <mergeCell ref="L5:O5"/>
    <mergeCell ref="P5:Q5"/>
    <mergeCell ref="T5:V5"/>
    <mergeCell ref="W5:W6"/>
    <mergeCell ref="X5:X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"/>
  <sheetViews>
    <sheetView workbookViewId="0"/>
  </sheetViews>
  <sheetFormatPr defaultRowHeight="15" x14ac:dyDescent="0.25"/>
  <cols>
    <col min="1" max="1" style="19" width="23.576428571428572" customWidth="1" bestFit="1"/>
    <col min="2" max="2" style="19" width="25.719285714285714" customWidth="1" bestFit="1"/>
    <col min="3" max="3" style="19" width="31.719285714285714" customWidth="1" bestFit="1"/>
    <col min="4" max="4" style="19" width="32.29071428571429" customWidth="1" bestFit="1"/>
    <col min="5" max="5" style="19" width="5.862142857142857" customWidth="1" bestFit="1"/>
    <col min="6" max="6" style="19" width="1.005" customWidth="1" bestFit="1"/>
    <col min="7" max="7" style="20" width="9.147857142857141" customWidth="1" bestFit="1"/>
    <col min="8" max="8" style="20" width="8.005" customWidth="1" bestFit="1"/>
    <col min="9" max="9" style="20" width="7.719285714285714" customWidth="1" bestFit="1"/>
    <col min="10" max="10" style="20" width="8.43357142857143" customWidth="1" bestFit="1"/>
    <col min="11" max="11" style="20" width="9.862142857142858" customWidth="1" bestFit="1"/>
    <col min="12" max="12" style="20" width="8.290714285714287" customWidth="1" bestFit="1"/>
    <col min="13" max="13" style="19" width="7.719285714285714" customWidth="1" bestFit="1"/>
    <col min="14" max="14" style="20" width="8.005" customWidth="1" bestFit="1"/>
    <col min="15" max="15" style="20" width="8.576428571428572" customWidth="1" bestFit="1"/>
    <col min="16" max="16" style="19" width="8.862142857142858" customWidth="1" bestFit="1"/>
    <col min="17" max="17" style="20" width="7.2907142857142855" customWidth="1" bestFit="1"/>
    <col min="18" max="18" style="20" width="7.719285714285714" customWidth="1" bestFit="1"/>
    <col min="19" max="19" style="20" width="8.005" customWidth="1" bestFit="1"/>
    <col min="20" max="20" style="19" width="7.862142857142857" customWidth="1" bestFit="1"/>
    <col min="21" max="21" style="21" width="8.290714285714287" customWidth="1" bestFit="1"/>
    <col min="22" max="22" style="20" width="8.719285714285713" customWidth="1" bestFit="1"/>
    <col min="23" max="23" style="20" width="7.862142857142857" customWidth="1" bestFit="1"/>
    <col min="24" max="24" style="20" width="8.005" customWidth="1" bestFit="1"/>
    <col min="25" max="25" style="19" width="7.862142857142857" customWidth="1" bestFit="1"/>
    <col min="26" max="26" style="19" width="12.43357142857143" customWidth="1" bestFit="1" hidden="1"/>
  </cols>
  <sheetData>
    <row x14ac:dyDescent="0.25" r="1" customHeight="1" ht="13.5">
      <c r="A1" s="1" t="s">
        <v>0</v>
      </c>
      <c r="B1" s="1"/>
      <c r="C1" s="2" t="s">
        <v>1</v>
      </c>
      <c r="D1" s="3"/>
      <c r="E1" s="3"/>
      <c r="F1" s="3"/>
      <c r="G1" s="4"/>
      <c r="H1" s="4"/>
      <c r="I1" s="4"/>
      <c r="J1" s="4"/>
      <c r="K1" s="4"/>
      <c r="L1" s="4"/>
      <c r="M1" s="3"/>
      <c r="N1" s="4"/>
      <c r="O1" s="4"/>
      <c r="P1" s="3"/>
      <c r="Q1" s="4"/>
      <c r="R1" s="4"/>
      <c r="S1" s="5"/>
      <c r="T1" s="1"/>
      <c r="U1" s="6">
        <f>+TODAY()</f>
        <v>25569</v>
      </c>
      <c r="V1" s="4"/>
      <c r="W1" s="4"/>
      <c r="X1" s="4"/>
      <c r="Y1" s="3"/>
      <c r="Z1" s="3"/>
    </row>
    <row x14ac:dyDescent="0.25" r="2" customHeight="1" ht="21.75">
      <c r="A2" s="1" t="s">
        <v>2</v>
      </c>
      <c r="B2" s="1"/>
      <c r="C2" s="3"/>
      <c r="D2" s="3"/>
      <c r="E2" s="3"/>
      <c r="F2" s="3"/>
      <c r="G2" s="4"/>
      <c r="H2" s="4"/>
      <c r="I2" s="4"/>
      <c r="J2" s="4"/>
      <c r="K2" s="4"/>
      <c r="L2" s="4"/>
      <c r="M2" s="3"/>
      <c r="N2" s="4"/>
      <c r="O2" s="4"/>
      <c r="P2" s="3"/>
      <c r="Q2" s="4"/>
      <c r="R2" s="4"/>
      <c r="S2" s="5"/>
      <c r="T2" s="1"/>
      <c r="U2" s="7"/>
      <c r="V2" s="4"/>
      <c r="W2" s="4"/>
      <c r="X2" s="4"/>
      <c r="Y2" s="3"/>
      <c r="Z2" s="3"/>
    </row>
    <row x14ac:dyDescent="0.25" r="3" customHeight="1" ht="14.25">
      <c r="A3" s="3"/>
      <c r="B3" s="3"/>
      <c r="C3" s="3"/>
      <c r="D3" s="3"/>
      <c r="E3" s="3"/>
      <c r="F3" s="3"/>
      <c r="G3" s="4"/>
      <c r="H3" s="4"/>
      <c r="I3" s="4"/>
      <c r="J3" s="4"/>
      <c r="K3" s="4"/>
      <c r="L3" s="4"/>
      <c r="M3" s="3"/>
      <c r="N3" s="4"/>
      <c r="O3" s="4"/>
      <c r="P3" s="3"/>
      <c r="Q3" s="4"/>
      <c r="R3" s="4"/>
      <c r="S3" s="4"/>
      <c r="T3" s="3"/>
      <c r="U3" s="7"/>
      <c r="V3" s="4"/>
      <c r="W3" s="4"/>
      <c r="X3" s="4"/>
      <c r="Y3" s="3"/>
      <c r="Z3" s="3"/>
    </row>
    <row x14ac:dyDescent="0.25" r="4" customHeight="1" ht="17.25">
      <c r="A4" s="3"/>
      <c r="B4" s="3"/>
      <c r="C4" s="3"/>
      <c r="D4" s="3"/>
      <c r="E4" s="3"/>
      <c r="F4" s="3"/>
      <c r="G4" s="4"/>
      <c r="H4" s="4"/>
      <c r="I4" s="4"/>
      <c r="J4" s="4"/>
      <c r="K4" s="4"/>
      <c r="L4" s="4"/>
      <c r="M4" s="3"/>
      <c r="N4" s="4"/>
      <c r="O4" s="4"/>
      <c r="P4" s="3"/>
      <c r="Q4" s="4"/>
      <c r="R4" s="4"/>
      <c r="S4" s="4"/>
      <c r="T4" s="3"/>
      <c r="U4" s="7"/>
      <c r="V4" s="4"/>
      <c r="W4" s="4"/>
      <c r="X4" s="4"/>
      <c r="Y4" s="3"/>
      <c r="Z4" s="3"/>
    </row>
    <row x14ac:dyDescent="0.25" r="5" customHeight="1" ht="17.25">
      <c r="A5" s="3"/>
      <c r="B5" s="3"/>
      <c r="C5" s="3"/>
      <c r="D5" s="3"/>
      <c r="E5" s="3"/>
      <c r="F5" s="3"/>
      <c r="G5" s="8" t="s">
        <v>3</v>
      </c>
      <c r="H5" s="9"/>
      <c r="I5" s="8" t="s">
        <v>4</v>
      </c>
      <c r="J5" s="10"/>
      <c r="K5" s="10"/>
      <c r="L5" s="10"/>
      <c r="M5" s="11"/>
      <c r="N5" s="8" t="s">
        <v>5</v>
      </c>
      <c r="O5" s="10"/>
      <c r="P5" s="12"/>
      <c r="Q5" s="9"/>
      <c r="R5" s="8" t="s">
        <v>6</v>
      </c>
      <c r="S5" s="10"/>
      <c r="T5" s="11"/>
      <c r="U5" s="13" t="s">
        <v>7</v>
      </c>
      <c r="V5" s="8" t="s">
        <v>8</v>
      </c>
      <c r="W5" s="10"/>
      <c r="X5" s="9"/>
      <c r="Y5" s="14" t="s">
        <v>9</v>
      </c>
      <c r="Z5" s="3"/>
    </row>
    <row x14ac:dyDescent="0.25" r="6" customHeight="1" ht="17.25">
      <c r="A6" s="3"/>
      <c r="B6" s="3"/>
      <c r="C6" s="3"/>
      <c r="D6" s="3"/>
      <c r="E6" s="3"/>
      <c r="F6" s="3"/>
      <c r="G6" s="15">
        <v>20</v>
      </c>
      <c r="H6" s="15">
        <v>50</v>
      </c>
      <c r="I6" s="8" t="s">
        <v>10</v>
      </c>
      <c r="J6" s="8" t="s">
        <v>11</v>
      </c>
      <c r="K6" s="8" t="s">
        <v>12</v>
      </c>
      <c r="L6" s="8" t="s">
        <v>13</v>
      </c>
      <c r="M6" s="14" t="s">
        <v>14</v>
      </c>
      <c r="N6" s="16">
        <v>10.5</v>
      </c>
      <c r="O6" s="15">
        <v>21</v>
      </c>
      <c r="P6" s="14" t="s">
        <v>15</v>
      </c>
      <c r="Q6" s="8" t="s">
        <v>16</v>
      </c>
      <c r="R6" s="16">
        <v>10.5</v>
      </c>
      <c r="S6" s="15">
        <v>21</v>
      </c>
      <c r="T6" s="14" t="s">
        <v>15</v>
      </c>
      <c r="U6" s="13" t="s">
        <v>15</v>
      </c>
      <c r="V6" s="16">
        <v>10.5</v>
      </c>
      <c r="W6" s="15">
        <v>21</v>
      </c>
      <c r="X6" s="15">
        <v>170</v>
      </c>
      <c r="Y6" s="17" t="s">
        <v>17</v>
      </c>
      <c r="Z6" s="3" t="s">
        <v>18</v>
      </c>
    </row>
    <row x14ac:dyDescent="0.25" r="7" customHeight="1" ht="14.25">
      <c r="A7" s="14" t="s">
        <v>19</v>
      </c>
      <c r="B7" s="14" t="s">
        <v>20</v>
      </c>
      <c r="C7" s="14" t="s">
        <v>21</v>
      </c>
      <c r="D7" s="14" t="s">
        <v>22</v>
      </c>
      <c r="E7" s="14" t="s">
        <v>23</v>
      </c>
      <c r="F7" s="14" t="s">
        <v>24</v>
      </c>
      <c r="G7" s="15">
        <v>501101</v>
      </c>
      <c r="H7" s="15">
        <v>501102</v>
      </c>
      <c r="I7" s="15">
        <v>502102</v>
      </c>
      <c r="J7" s="15">
        <v>502103</v>
      </c>
      <c r="K7" s="15">
        <v>502118</v>
      </c>
      <c r="L7" s="15">
        <v>502119</v>
      </c>
      <c r="M7" s="14" t="s">
        <v>25</v>
      </c>
      <c r="N7" s="15">
        <v>503101</v>
      </c>
      <c r="O7" s="15">
        <v>503102</v>
      </c>
      <c r="P7" s="14" t="s">
        <v>26</v>
      </c>
      <c r="Q7" s="15">
        <v>503133</v>
      </c>
      <c r="R7" s="15">
        <v>503201</v>
      </c>
      <c r="S7" s="15">
        <v>503202</v>
      </c>
      <c r="T7" s="14" t="s">
        <v>27</v>
      </c>
      <c r="U7" s="13" t="s">
        <v>28</v>
      </c>
      <c r="V7" s="15">
        <v>503301</v>
      </c>
      <c r="W7" s="15">
        <v>503302</v>
      </c>
      <c r="X7" s="15">
        <v>503303</v>
      </c>
      <c r="Y7" s="18"/>
      <c r="Z7" s="3"/>
    </row>
  </sheetData>
  <mergeCells count="8">
    <mergeCell ref="C1:R2"/>
    <mergeCell ref="U1:Z2"/>
    <mergeCell ref="G5:H5"/>
    <mergeCell ref="I5:M5"/>
    <mergeCell ref="N5:Q5"/>
    <mergeCell ref="R5:T5"/>
    <mergeCell ref="V5:X5"/>
    <mergeCell ref="Y6:Y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AGADIR</vt:lpstr>
      <vt:lpstr>QUALI NV</vt:lpstr>
      <vt:lpstr>QUALI</vt:lpstr>
      <vt:lpstr>VMM</vt:lpstr>
      <vt:lpstr>VMM CUMUL</vt:lpstr>
      <vt:lpstr>SOM</vt:lpstr>
      <vt:lpstr>SOM CUMUL</vt:lpstr>
      <vt:lpstr>SOM_quali</vt:lpstr>
      <vt:lpstr>VMM_quali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2025-10-22T12:12:09.545Z</dcterms:created>
  <dcterms:modified xsi:type="dcterms:W3CDTF">2025-10-22T12:12:09.546Z</dcterms:modified>
</cp:coreProperties>
</file>